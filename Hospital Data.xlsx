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5.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6.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https://d.docs.live.net/816DA552261F2801/Documents/"/>
    </mc:Choice>
  </mc:AlternateContent>
  <xr:revisionPtr revIDLastSave="10" documentId="8_{915BD1FC-E8F9-4AD7-91A7-14FE809F6BE6}" xr6:coauthVersionLast="47" xr6:coauthVersionMax="47" xr10:uidLastSave="{53D215D0-02DA-4878-8B51-6E322B590268}"/>
  <bookViews>
    <workbookView xWindow="-120" yWindow="-120" windowWidth="20730" windowHeight="11160" xr2:uid="{64C80C84-CB2E-40B3-B8EB-14EC1B3C4751}"/>
  </bookViews>
  <sheets>
    <sheet name="patient details" sheetId="1" r:id="rId1"/>
    <sheet name="Hospital-details" sheetId="4" r:id="rId2"/>
    <sheet name="patient Disease" sheetId="3" r:id="rId3"/>
    <sheet name="Doctor Revenue" sheetId="5" r:id="rId4"/>
    <sheet name="Patients Gander" sheetId="6" r:id="rId5"/>
    <sheet name="Daly revenue" sheetId="7" r:id="rId6"/>
  </sheets>
  <definedNames>
    <definedName name="Slicer_Admission_Date">#N/A</definedName>
    <definedName name="Slicer_Disease">#N/A</definedName>
    <definedName name="Slicer_Name">#N/A</definedName>
    <definedName name="Slicer_Patient_ID">#N/A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N7" i="1" l="1" a="1"/>
  <c r="N7"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<sst xmlns="http://schemas.openxmlformats.org/spreadsheetml/2006/main" count="352" uniqueCount="186">
  <si>
    <t>Gender</t>
  </si>
  <si>
    <t>Age</t>
  </si>
  <si>
    <t>Male</t>
  </si>
  <si>
    <t>Female</t>
  </si>
  <si>
    <t>Row Labels</t>
  </si>
  <si>
    <t>Patient ID</t>
  </si>
  <si>
    <t>Name</t>
  </si>
  <si>
    <t>Disease</t>
  </si>
  <si>
    <t>Doctor Assigned</t>
  </si>
  <si>
    <t>Admission Date</t>
  </si>
  <si>
    <t>P001</t>
  </si>
  <si>
    <t>Amit Sharma</t>
  </si>
  <si>
    <t>Diabetes</t>
  </si>
  <si>
    <t>Dr. Mehta</t>
  </si>
  <si>
    <t>P002</t>
  </si>
  <si>
    <t>Neha Patel</t>
  </si>
  <si>
    <t>Flu</t>
  </si>
  <si>
    <t>Dr. Rao</t>
  </si>
  <si>
    <t>P003</t>
  </si>
  <si>
    <t>Rahul Verma</t>
  </si>
  <si>
    <t>Fracture</t>
  </si>
  <si>
    <t>Dr. Singh</t>
  </si>
  <si>
    <t>P004</t>
  </si>
  <si>
    <t>Pooja Nair</t>
  </si>
  <si>
    <t>Hypertension</t>
  </si>
  <si>
    <t>Dr. Iyer</t>
  </si>
  <si>
    <t>P005</t>
  </si>
  <si>
    <t>Karan Gupta</t>
  </si>
  <si>
    <t>Heart Disease</t>
  </si>
  <si>
    <t>Dr. Shah</t>
  </si>
  <si>
    <t>P006</t>
  </si>
  <si>
    <t>Sneha Joshi</t>
  </si>
  <si>
    <t>Asthma</t>
  </si>
  <si>
    <t>Dr. Kulkarni</t>
  </si>
  <si>
    <t>P007</t>
  </si>
  <si>
    <t>Vikram Desai</t>
  </si>
  <si>
    <t>Covid-19</t>
  </si>
  <si>
    <t>P008</t>
  </si>
  <si>
    <t>Anjali Kapoor</t>
  </si>
  <si>
    <t>Migraine</t>
  </si>
  <si>
    <t>P009</t>
  </si>
  <si>
    <t>Rohan Das</t>
  </si>
  <si>
    <t>Arthritis</t>
  </si>
  <si>
    <t>P010</t>
  </si>
  <si>
    <t>Meera Iyer</t>
  </si>
  <si>
    <t>Thyroid</t>
  </si>
  <si>
    <t>P011</t>
  </si>
  <si>
    <t>Arjun Reddy</t>
  </si>
  <si>
    <t>P012</t>
  </si>
  <si>
    <t>Kavita Sharma</t>
  </si>
  <si>
    <t>P013</t>
  </si>
  <si>
    <t>Suresh Yadav</t>
  </si>
  <si>
    <t>P014</t>
  </si>
  <si>
    <t>Divya Menon</t>
  </si>
  <si>
    <t>P015</t>
  </si>
  <si>
    <t>Manoj Tiwari</t>
  </si>
  <si>
    <t>P016</t>
  </si>
  <si>
    <t>Ritu Jain</t>
  </si>
  <si>
    <t>P017</t>
  </si>
  <si>
    <t>Sunil Chavan</t>
  </si>
  <si>
    <t>P018</t>
  </si>
  <si>
    <t>Priyanka Das</t>
  </si>
  <si>
    <t>P019</t>
  </si>
  <si>
    <t>Deepak Mishra</t>
  </si>
  <si>
    <t>P020</t>
  </si>
  <si>
    <t>Shreya Sen</t>
  </si>
  <si>
    <t>P021</t>
  </si>
  <si>
    <t>Nitin Agarwal</t>
  </si>
  <si>
    <t>P022</t>
  </si>
  <si>
    <t>Alka Verma</t>
  </si>
  <si>
    <t>P023</t>
  </si>
  <si>
    <t>Ramesh Pillai</t>
  </si>
  <si>
    <t>P024</t>
  </si>
  <si>
    <t>Anita Roy</t>
  </si>
  <si>
    <t>P025</t>
  </si>
  <si>
    <t>Gaurav Bansal</t>
  </si>
  <si>
    <t>P026</t>
  </si>
  <si>
    <t>Sonal Shah</t>
  </si>
  <si>
    <t>P027</t>
  </si>
  <si>
    <t>Harish Kumar</t>
  </si>
  <si>
    <t>P028</t>
  </si>
  <si>
    <t>Nisha Gupta</t>
  </si>
  <si>
    <t>P029</t>
  </si>
  <si>
    <t>Ajay Singh</t>
  </si>
  <si>
    <t>P030</t>
  </si>
  <si>
    <t>Komal Arora</t>
  </si>
  <si>
    <t>P031</t>
  </si>
  <si>
    <t>Sachin Patil</t>
  </si>
  <si>
    <t>P032</t>
  </si>
  <si>
    <t>Rekha Nair</t>
  </si>
  <si>
    <t>P033</t>
  </si>
  <si>
    <t>Prakash Shetty</t>
  </si>
  <si>
    <t>P034</t>
  </si>
  <si>
    <t>Swati Kulkarni</t>
  </si>
  <si>
    <t>P035</t>
  </si>
  <si>
    <t>Anil Verma</t>
  </si>
  <si>
    <t>P036</t>
  </si>
  <si>
    <t>Rashmi Joshi</t>
  </si>
  <si>
    <t>P037</t>
  </si>
  <si>
    <t>Naresh Yadav</t>
  </si>
  <si>
    <t>P038</t>
  </si>
  <si>
    <t>Payal Jain</t>
  </si>
  <si>
    <t>P039</t>
  </si>
  <si>
    <t>Rajesh Khanna</t>
  </si>
  <si>
    <t>P040</t>
  </si>
  <si>
    <t>Simran Kaur</t>
  </si>
  <si>
    <t>P041</t>
  </si>
  <si>
    <t>Ashok Das</t>
  </si>
  <si>
    <t>P042</t>
  </si>
  <si>
    <t>Pallavi Sen</t>
  </si>
  <si>
    <t>P043</t>
  </si>
  <si>
    <t>Devendra Singh</t>
  </si>
  <si>
    <t>P044</t>
  </si>
  <si>
    <t>Riya Kapoor</t>
  </si>
  <si>
    <t>P045</t>
  </si>
  <si>
    <t>Varun Malhotra</t>
  </si>
  <si>
    <t>P046</t>
  </si>
  <si>
    <t>Neelam Gupta</t>
  </si>
  <si>
    <t>P047</t>
  </si>
  <si>
    <t>Omkar Patil</t>
  </si>
  <si>
    <t>P048</t>
  </si>
  <si>
    <t>Sheetal More</t>
  </si>
  <si>
    <t>P049</t>
  </si>
  <si>
    <t>Sanjay Mishra</t>
  </si>
  <si>
    <t>P050</t>
  </si>
  <si>
    <t>Tina Dsouza</t>
  </si>
  <si>
    <t>Treatment Cost</t>
  </si>
  <si>
    <t>Medicine Cost</t>
  </si>
  <si>
    <t>Room Charges</t>
  </si>
  <si>
    <t>Total Bill</t>
  </si>
  <si>
    <t>Count of Patient ID</t>
  </si>
  <si>
    <t>Grand Total</t>
  </si>
  <si>
    <t>Sum of Total Bill</t>
  </si>
  <si>
    <t>1-Mar</t>
  </si>
  <si>
    <t>2-Mar</t>
  </si>
  <si>
    <t>3-Mar</t>
  </si>
  <si>
    <t>4-Mar</t>
  </si>
  <si>
    <t>5-Mar</t>
  </si>
  <si>
    <t>6-Mar</t>
  </si>
  <si>
    <t>7-Mar</t>
  </si>
  <si>
    <t>8-Mar</t>
  </si>
  <si>
    <t>9-Mar</t>
  </si>
  <si>
    <t>10-Mar</t>
  </si>
  <si>
    <t>11-Mar</t>
  </si>
  <si>
    <t>12-Mar</t>
  </si>
  <si>
    <t>13-Mar</t>
  </si>
  <si>
    <t>14-Mar</t>
  </si>
  <si>
    <t>15-Mar</t>
  </si>
  <si>
    <t>16-Mar</t>
  </si>
  <si>
    <t>17-Mar</t>
  </si>
  <si>
    <t>18-Mar</t>
  </si>
  <si>
    <t>19-Mar</t>
  </si>
  <si>
    <t>20-Mar</t>
  </si>
  <si>
    <t>21-Mar</t>
  </si>
  <si>
    <t>22-Mar</t>
  </si>
  <si>
    <t>23-Mar</t>
  </si>
  <si>
    <t>24-Mar</t>
  </si>
  <si>
    <t>25-Mar</t>
  </si>
  <si>
    <t>26-Mar</t>
  </si>
  <si>
    <t>27-Mar</t>
  </si>
  <si>
    <t>28-Mar</t>
  </si>
  <si>
    <t>29-Mar</t>
  </si>
  <si>
    <t>30-Mar</t>
  </si>
  <si>
    <t>31-Mar</t>
  </si>
  <si>
    <t>1-Apr</t>
  </si>
  <si>
    <t>2-Apr</t>
  </si>
  <si>
    <t>3-Apr</t>
  </si>
  <si>
    <t>4-Apr</t>
  </si>
  <si>
    <t>5-Apr</t>
  </si>
  <si>
    <t>6-Apr</t>
  </si>
  <si>
    <t>7-Apr</t>
  </si>
  <si>
    <t>8-Apr</t>
  </si>
  <si>
    <t>9-Apr</t>
  </si>
  <si>
    <t>10-Apr</t>
  </si>
  <si>
    <t>11-Apr</t>
  </si>
  <si>
    <t>12-Apr</t>
  </si>
  <si>
    <t>13-Apr</t>
  </si>
  <si>
    <t>14-Apr</t>
  </si>
  <si>
    <t>15-Apr</t>
  </si>
  <si>
    <t>16-Apr</t>
  </si>
  <si>
    <t>17-Apr</t>
  </si>
  <si>
    <t>18-Apr</t>
  </si>
  <si>
    <t>19-Apr</t>
  </si>
  <si>
    <t>Hospital Details</t>
  </si>
  <si>
    <t>Search Box</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</si>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</sst>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d\-mmm\-yy;@"/>
    <numFmt numFmtId="165" formatCode="[$₹-4009]\ #,##0.00"/>
    <numFmt numFmtId="166" formatCode="[$₹-4009]\ #,##0.00;[Red][$₹-4009]\ #,##0.00"/>
  </numFmts>
  <fonts count="4" x14ac:knownFonts="1">
    <font>
      <sz val="11"/>
      <color theme="1"/>
      <name val="Calibri"/>
      <family val="2"/>
      <scheme val="minor"/>
    </font>
    <font>
      <b/>
      <sz val="16"/>
      <color theme="0"/>
      <name val="Calibri"/>
      <family val="2"/>
      <scheme val="minor"/>
    </font>
    <font>
      <b/>
      <sz val="12"/>
      <color theme="0"/>
      <name val="Calibri"/>
      <family val="2"/>
      <scheme val="minor"/>
    </font>
    <font>
      <b/>
      <sz val="14"/>
      <color theme="0"/>
      <name val="Calibri"/>
      <family val="2"/>
      <scheme val="minor"/>
    </font>
  </fonts>
  <fills count="6">
    <fill>
      <patternFill patternType="none"/>
    </fill>
    <fill>
      <patternFill patternType="gray125"/>
    </fill>
    <fill>
      <patternFill patternType="solid">
        <fgColor theme="4" tint="0.39997558519241921"/>
        <bgColor indexed="64"/>
      </patternFill>
    </fill>
    <fill>
      <patternFill patternType="solid">
        <fgColor theme="0" tint="-0.249977111117893"/>
        <bgColor indexed="64"/>
      </patternFill>
    </fill>
    <fill>
      <patternFill patternType="solid">
        <fgColor theme="8" tint="-0.249977111117893"/>
        <bgColor indexed="64"/>
      </patternFill>
    </fill>
    <fill>
      <patternFill patternType="solid">
        <fgColor theme="4" tint="-0.249977111117893"/>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20">
    <xf numFmtId="0" fontId="0" fillId="0" borderId="0" xfId="0"/>
    <xf numFmtId="164"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0" fillId="0" borderId="1" xfId="0" applyBorder="1"/>
    <xf numFmtId="164" fontId="0" fillId="0" borderId="1" xfId="0" applyNumberFormat="1" applyBorder="1"/>
    <xf numFmtId="165" fontId="0" fillId="0" borderId="1" xfId="0" applyNumberFormat="1" applyBorder="1"/>
    <xf numFmtId="166" fontId="0" fillId="0" borderId="1" xfId="0" applyNumberFormat="1" applyBorder="1"/>
    <xf numFmtId="0" fontId="0" fillId="3" borderId="0" xfId="0" applyFill="1"/>
    <xf numFmtId="164" fontId="0" fillId="0" borderId="0" xfId="0" applyNumberFormat="1" applyAlignment="1">
      <alignment horizontal="left"/>
    </xf>
    <xf numFmtId="0" fontId="2" fillId="2" borderId="1" xfId="0" applyFont="1" applyFill="1" applyBorder="1" applyAlignment="1">
      <alignment horizontal="center"/>
    </xf>
    <xf numFmtId="0" fontId="3" fillId="4" borderId="0" xfId="0" applyFont="1" applyFill="1" applyAlignment="1">
      <alignment horizontal="center" vertical="center"/>
    </xf>
    <xf numFmtId="0" fontId="2" fillId="2" borderId="1" xfId="0" applyFont="1" applyFill="1" applyBorder="1" applyAlignment="1">
      <alignment horizontal="center" vertical="center"/>
    </xf>
    <xf numFmtId="0" fontId="1" fillId="5" borderId="2" xfId="0" applyFont="1" applyFill="1" applyBorder="1" applyAlignment="1">
      <alignment horizontal="center" vertical="center"/>
    </xf>
    <xf numFmtId="0" fontId="1" fillId="5" borderId="3" xfId="0" applyFont="1" applyFill="1" applyBorder="1" applyAlignment="1">
      <alignment horizontal="center" vertical="center"/>
    </xf>
    <xf numFmtId="0" fontId="1" fillId="5" borderId="4" xfId="0" applyFont="1" applyFill="1" applyBorder="1" applyAlignment="1">
      <alignment horizontal="center" vertical="center"/>
    </xf>
    <xf numFmtId="0" fontId="1" fillId="5" borderId="5" xfId="0" applyFont="1" applyFill="1" applyBorder="1" applyAlignment="1">
      <alignment horizontal="center" vertical="center"/>
    </xf>
    <xf numFmtId="0" fontId="1" fillId="5" borderId="6" xfId="0" applyFont="1" applyFill="1" applyBorder="1" applyAlignment="1">
      <alignment horizontal="center" vertical="center"/>
    </xf>
    <xf numFmtId="0" fontId="1" fillId="5" borderId="7"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activeX1.xml><?xml version="1.0" encoding="utf-8"?>
<ax:ocx xmlns:ax="http://schemas.microsoft.com/office/2006/activeX" xmlns:r="http://schemas.openxmlformats.org/officeDocument/2006/relationships" ax:classid="{8BD21D10-EC42-11CE-9E0D-00AA006002F3}" ax:persistence="persistStreamInit" r:id="rId1"/>
</file>

<file path=xl/activeX/activeX2.xml><?xml version="1.0" encoding="utf-8"?>
<ax:ocx xmlns:ax="http://schemas.microsoft.com/office/2006/activeX" xmlns:r="http://schemas.openxmlformats.org/officeDocument/2006/relationships" ax:classid="{8BD21D10-EC42-11CE-9E0D-00AA006002F3}" ax:persistence="persistStreamInit" r:id="rId1"/>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[store data.xlsx]Doctor Revenue!PivotTable1</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Doctor Revenue</a:t>
            </a:r>
          </a:p>
        </c:rich>
      </c:tx>
      <c:layout>
        <c:manualLayout>
          <c:xMode val="edge"/>
          <c:yMode val="edge"/>
          <c:x val="0.32511843969294635"/>
          <c:y val="3.2183908045977011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002537182852144"/>
          <c:y val="0.14393518518518519"/>
          <c:w val="0.85219685039370074"/>
          <c:h val="0.77181357538640982"/>
        </c:manualLayout>
      </c:layout>
      <c:barChart>
        <c:barDir val="col"/>
        <c:grouping val="clustered"/>
        <c:varyColors val="0"/>
        <c:ser>
          <c:idx val="0"/>
          <c:order val="0"/>
          <c:tx>
            <c:strRef>
              <c:f>'Doctor Revenue'!$B$3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'Doctor Revenue'!$A$4:$A$9</c:f>
              <c:strCache>
                <c:ptCount val="6"/>
                <c:pt idx="0">
                  <c:v>Dr. Iyer</c:v>
                </c:pt>
                <c:pt idx="1">
                  <c:v>Dr. Kulkarni</c:v>
                </c:pt>
                <c:pt idx="2">
                  <c:v>Dr. Mehta</c:v>
                </c:pt>
                <c:pt idx="3">
                  <c:v>Dr. Rao</c:v>
                </c:pt>
                <c:pt idx="4">
                  <c:v>Dr. Shah</c:v>
                </c:pt>
                <c:pt idx="5">
                  <c:v>Dr. Singh</c:v>
                </c:pt>
              </c:strCache>
            </c:strRef>
          </c:cat>
          <c:val>
            <c:numRef>
              <c:f>'Doctor Revenue'!$B$4:$B$9</c:f>
              <c:numCache>
                <c:formatCode>General</c:formatCode>
                <c:ptCount val="6"/>
                <c:pt idx="0">
                  <c:v>135500</c:v>
                </c:pt>
                <c:pt idx="1">
                  <c:v>151500</c:v>
                </c:pt>
                <c:pt idx="2">
                  <c:v>274500</c:v>
                </c:pt>
                <c:pt idx="3">
                  <c:v>136500</c:v>
                </c:pt>
                <c:pt idx="4">
                  <c:v>229500</c:v>
                </c:pt>
                <c:pt idx="5">
                  <c:v>233000</c:v>
                </c:pt>
              </c:numCache>
            </c:numRef>
          </c:val>
          <c:extLst>
            <c:ext xmlns:c16="http://schemas.microsoft.com/office/drawing/2014/chart" uri="{C3380CC4-5D6E-409C-BE32-E72D297353CC}">
              <c16:uniqueId val="{00000002-9E1B-4037-8F68-8677072038C9}"/>
            </c:ext>
          </c:extLst>
        </c:ser>
        <c:dLbls>
          <c:dLblPos val="inEnd"/>
          <c:showLegendKey val="0"/>
          <c:showVal val="1"/>
          <c:showCatName val="0"/>
          <c:showSerName val="0"/>
          <c:showPercent val="0"/>
          <c:showBubbleSize val="0"/>
        </c:dLbls>
        <c:gapWidth val="65"/>
        <c:axId val="1365586912"/>
        <c:axId val="1365583584"/>
      </c:barChart>
      <c:catAx>
        <c:axId val="136558691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65583584"/>
        <c:crosses val="autoZero"/>
        <c:auto val="1"/>
        <c:lblAlgn val="ctr"/>
        <c:lblOffset val="100"/>
        <c:noMultiLvlLbl val="0"/>
      </c:catAx>
      <c:valAx>
        <c:axId val="1365583584"/>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3655869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[store data.xlsx]patient Disease!PivotTable1</c:name>
    <c:fmtId val="7"/>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patient Disease</a:t>
            </a:r>
          </a:p>
        </c:rich>
      </c:tx>
      <c:layout>
        <c:manualLayout>
          <c:xMode val="edge"/>
          <c:yMode val="edge"/>
          <c:x val="0.35399839725916615"/>
          <c:y val="9.0754500757827725E-4"/>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dLbl>
          <c:idx val="0"/>
          <c:dLblPos val="outEnd"/>
          <c:showLegendKey val="0"/>
          <c:showVal val="0"/>
          <c:showCatName val="1"/>
          <c:showSerName val="0"/>
          <c:showPercent val="1"/>
          <c:showBubbleSize val="0"/>
          <c:extLst>
            <c:ext xmlns:c15="http://schemas.microsoft.com/office/drawing/2012/chart" uri="{CE6537A1-D6FC-4f65-9D91-7224C49458BB}">
              <c15:layout>
                <c:manualLayout>
                  <c:w val="0.13521373208630608"/>
                  <c:h val="0.14608662604957187"/>
                </c:manualLayout>
              </c15:layout>
            </c:ext>
          </c:extLst>
        </c:dLbl>
      </c:pivotFmt>
      <c:pivotFmt>
        <c:idx val="11"/>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dLbl>
          <c:idx val="0"/>
          <c:dLblPos val="outEnd"/>
          <c:showLegendKey val="0"/>
          <c:showVal val="0"/>
          <c:showCatName val="1"/>
          <c:showSerName val="0"/>
          <c:showPercent val="1"/>
          <c:showBubbleSize val="0"/>
          <c:extLst>
            <c:ext xmlns:c15="http://schemas.microsoft.com/office/drawing/2012/chart" uri="{CE6537A1-D6FC-4f65-9D91-7224C49458BB}">
              <c15:layout>
                <c:manualLayout>
                  <c:w val="0.13521373208630608"/>
                  <c:h val="0.14608662604957187"/>
                </c:manualLayout>
              </c15:layout>
            </c:ext>
          </c:extLst>
        </c:dLbl>
      </c:pivotFmt>
      <c:pivotFmt>
        <c:idx val="22"/>
        <c:spPr>
          <a:solidFill>
            <a:schemeClr val="accent1"/>
          </a:solidFill>
          <a:ln>
            <a:noFill/>
          </a:ln>
          <a:effectLst>
            <a:outerShdw blurRad="317500" algn="ctr" rotWithShape="0">
              <a:prstClr val="black">
                <a:alpha val="25000"/>
              </a:prstClr>
            </a:outerShdw>
          </a:effectLst>
        </c:spPr>
        <c:marker>
          <c:symbol val="none"/>
        </c:marker>
        <c:dLbl>
          <c:idx val="0"/>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solidFill>
            <a:schemeClr val="accent1"/>
          </a:solidFill>
          <a:ln>
            <a:noFill/>
          </a:ln>
          <a:effectLst>
            <a:outerShdw blurRad="317500" algn="ctr" rotWithShape="0">
              <a:prstClr val="black">
                <a:alpha val="25000"/>
              </a:prstClr>
            </a:outerShdw>
          </a:effectLst>
        </c:spPr>
      </c:pivotFmt>
      <c:pivotFmt>
        <c:idx val="24"/>
        <c:spPr>
          <a:solidFill>
            <a:schemeClr val="accent1"/>
          </a:solidFill>
          <a:ln>
            <a:noFill/>
          </a:ln>
          <a:effectLst>
            <a:outerShdw blurRad="317500" algn="ctr" rotWithShape="0">
              <a:prstClr val="black">
                <a:alpha val="25000"/>
              </a:prstClr>
            </a:outerShdw>
          </a:effectLst>
        </c:spPr>
      </c:pivotFmt>
      <c:pivotFmt>
        <c:idx val="25"/>
        <c:spPr>
          <a:solidFill>
            <a:schemeClr val="accent1"/>
          </a:solidFill>
          <a:ln>
            <a:noFill/>
          </a:ln>
          <a:effectLst>
            <a:outerShdw blurRad="317500" algn="ctr" rotWithShape="0">
              <a:prstClr val="black">
                <a:alpha val="25000"/>
              </a:prstClr>
            </a:outerShdw>
          </a:effectLst>
        </c:spPr>
      </c:pivotFmt>
      <c:pivotFmt>
        <c:idx val="26"/>
        <c:spPr>
          <a:solidFill>
            <a:schemeClr val="accent1"/>
          </a:solidFill>
          <a:ln>
            <a:noFill/>
          </a:ln>
          <a:effectLst>
            <a:outerShdw blurRad="317500" algn="ctr" rotWithShape="0">
              <a:prstClr val="black">
                <a:alpha val="25000"/>
              </a:prstClr>
            </a:outerShdw>
          </a:effectLst>
        </c:spPr>
      </c:pivotFmt>
      <c:pivotFmt>
        <c:idx val="27"/>
        <c:spPr>
          <a:solidFill>
            <a:schemeClr val="accent1"/>
          </a:solidFill>
          <a:ln>
            <a:noFill/>
          </a:ln>
          <a:effectLst>
            <a:outerShdw blurRad="317500" algn="ctr" rotWithShape="0">
              <a:prstClr val="black">
                <a:alpha val="25000"/>
              </a:prstClr>
            </a:outerShdw>
          </a:effectLst>
        </c:spPr>
      </c:pivotFmt>
      <c:pivotFmt>
        <c:idx val="28"/>
        <c:spPr>
          <a:solidFill>
            <a:schemeClr val="accent1"/>
          </a:solidFill>
          <a:ln>
            <a:noFill/>
          </a:ln>
          <a:effectLst>
            <a:outerShdw blurRad="317500" algn="ctr" rotWithShape="0">
              <a:prstClr val="black">
                <a:alpha val="25000"/>
              </a:prstClr>
            </a:outerShdw>
          </a:effectLst>
        </c:spPr>
      </c:pivotFmt>
      <c:pivotFmt>
        <c:idx val="29"/>
        <c:spPr>
          <a:solidFill>
            <a:schemeClr val="accent1"/>
          </a:solidFill>
          <a:ln>
            <a:noFill/>
          </a:ln>
          <a:effectLst>
            <a:outerShdw blurRad="317500" algn="ctr" rotWithShape="0">
              <a:prstClr val="black">
                <a:alpha val="25000"/>
              </a:prstClr>
            </a:outerShdw>
          </a:effectLst>
        </c:spPr>
      </c:pivotFmt>
      <c:pivotFmt>
        <c:idx val="30"/>
        <c:spPr>
          <a:solidFill>
            <a:schemeClr val="accent1"/>
          </a:solidFill>
          <a:ln>
            <a:noFill/>
          </a:ln>
          <a:effectLst>
            <a:outerShdw blurRad="317500" algn="ctr" rotWithShape="0">
              <a:prstClr val="black">
                <a:alpha val="25000"/>
              </a:prstClr>
            </a:outerShdw>
          </a:effectLst>
        </c:spPr>
      </c:pivotFmt>
      <c:pivotFmt>
        <c:idx val="31"/>
        <c:spPr>
          <a:solidFill>
            <a:schemeClr val="accent1"/>
          </a:solidFill>
          <a:ln>
            <a:noFill/>
          </a:ln>
          <a:effectLst>
            <a:outerShdw blurRad="317500" algn="ctr" rotWithShape="0">
              <a:prstClr val="black">
                <a:alpha val="25000"/>
              </a:prstClr>
            </a:outerShdw>
          </a:effectLst>
        </c:spPr>
      </c:pivotFmt>
      <c:pivotFmt>
        <c:idx val="32"/>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'patient Disease'!$B$3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Pt>
            <c:idx val="2"/>
            <c:bubble3D val="0"/>
            <c:spPr>
              <a:solidFill>
                <a:schemeClr val="accent3"/>
              </a:solidFill>
              <a:ln>
                <a:noFill/>
              </a:ln>
              <a:effectLst>
                <a:outerShdw blurRad="317500" algn="ctr" rotWithShape="0">
                  <a:prstClr val="black">
                    <a:alpha val="25000"/>
                  </a:prstClr>
                </a:outerShdw>
              </a:effectLst>
            </c:spPr>
          </c:dPt>
          <c:dPt>
            <c:idx val="3"/>
            <c:bubble3D val="0"/>
            <c:spPr>
              <a:solidFill>
                <a:schemeClr val="accent4"/>
              </a:solidFill>
              <a:ln>
                <a:noFill/>
              </a:ln>
              <a:effectLst>
                <a:outerShdw blurRad="317500" algn="ctr" rotWithShape="0">
                  <a:prstClr val="black">
                    <a:alpha val="25000"/>
                  </a:prstClr>
                </a:outerShdw>
              </a:effectLst>
            </c:spPr>
          </c:dPt>
          <c:dPt>
            <c:idx val="4"/>
            <c:bubble3D val="0"/>
            <c:spPr>
              <a:solidFill>
                <a:schemeClr val="accent5"/>
              </a:solidFill>
              <a:ln>
                <a:noFill/>
              </a:ln>
              <a:effectLst>
                <a:outerShdw blurRad="317500" algn="ctr" rotWithShape="0">
                  <a:prstClr val="black">
                    <a:alpha val="25000"/>
                  </a:prstClr>
                </a:outerShdw>
              </a:effectLst>
            </c:spPr>
          </c:dPt>
          <c:dPt>
            <c:idx val="5"/>
            <c:bubble3D val="0"/>
            <c:spPr>
              <a:solidFill>
                <a:schemeClr val="accent6"/>
              </a:solidFill>
              <a:ln>
                <a:noFill/>
              </a:ln>
              <a:effectLst>
                <a:outerShdw blurRad="317500" algn="ctr" rotWithShape="0">
                  <a:prstClr val="black">
                    <a:alpha val="25000"/>
                  </a:prstClr>
                </a:outerShdw>
              </a:effectLst>
            </c:spPr>
          </c:dPt>
          <c:dPt>
            <c:idx val="6"/>
            <c:bubble3D val="0"/>
            <c:spPr>
              <a:solidFill>
                <a:schemeClr val="accent1">
                  <a:lumMod val="60000"/>
                </a:schemeClr>
              </a:solidFill>
              <a:ln>
                <a:noFill/>
              </a:ln>
              <a:effectLst>
                <a:outerShdw blurRad="317500" algn="ctr" rotWithShape="0">
                  <a:prstClr val="black">
                    <a:alpha val="25000"/>
                  </a:prstClr>
                </a:outerShdw>
              </a:effectLst>
            </c:spPr>
          </c:dPt>
          <c:dPt>
            <c:idx val="7"/>
            <c:bubble3D val="0"/>
            <c:spPr>
              <a:solidFill>
                <a:schemeClr val="accent2">
                  <a:lumMod val="60000"/>
                </a:schemeClr>
              </a:solidFill>
              <a:ln>
                <a:noFill/>
              </a:ln>
              <a:effectLst>
                <a:outerShdw blurRad="317500" algn="ctr" rotWithShape="0">
                  <a:prstClr val="black">
                    <a:alpha val="25000"/>
                  </a:prstClr>
                </a:outerShdw>
              </a:effectLst>
            </c:spPr>
          </c:dPt>
          <c:dPt>
            <c:idx val="8"/>
            <c:bubble3D val="0"/>
            <c:spPr>
              <a:solidFill>
                <a:schemeClr val="accent3">
                  <a:lumMod val="60000"/>
                </a:schemeClr>
              </a:solidFill>
              <a:ln>
                <a:noFill/>
              </a:ln>
              <a:effectLst>
                <a:outerShdw blurRad="317500" algn="ctr" rotWithShape="0">
                  <a:prstClr val="black">
                    <a:alpha val="25000"/>
                  </a:prstClr>
                </a:outerShdw>
              </a:effectLst>
            </c:spPr>
          </c:dPt>
          <c:dPt>
            <c:idx val="9"/>
            <c:bubble3D val="0"/>
            <c:spPr>
              <a:solidFill>
                <a:schemeClr val="accent4">
                  <a:lumMod val="60000"/>
                </a:schemeClr>
              </a:solidFill>
              <a:ln>
                <a:noFill/>
              </a:ln>
              <a:effectLst>
                <a:outerShdw blurRad="317500" algn="ctr" rotWithShape="0">
                  <a:prstClr val="black">
                    <a:alpha val="25000"/>
                  </a:prstClr>
                </a:outerShdw>
              </a:effectLst>
            </c:spPr>
          </c:dPt>
          <c:dLbls>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'patient Disease'!$A$4:$A$13</c:f>
              <c:strCache>
                <c:ptCount val="10"/>
                <c:pt idx="0">
                  <c:v>Arthritis</c:v>
                </c:pt>
                <c:pt idx="1">
                  <c:v>Asthma</c:v>
                </c:pt>
                <c:pt idx="2">
                  <c:v>Covid-19</c:v>
                </c:pt>
                <c:pt idx="3">
                  <c:v>Diabetes</c:v>
                </c:pt>
                <c:pt idx="4">
                  <c:v>Flu</c:v>
                </c:pt>
                <c:pt idx="5">
                  <c:v>Fracture</c:v>
                </c:pt>
                <c:pt idx="6">
                  <c:v>Heart Disease</c:v>
                </c:pt>
                <c:pt idx="7">
                  <c:v>Hypertension</c:v>
                </c:pt>
                <c:pt idx="8">
                  <c:v>Migraine</c:v>
                </c:pt>
                <c:pt idx="9">
                  <c:v>Thyroid</c:v>
                </c:pt>
              </c:strCache>
            </c:strRef>
          </c:cat>
          <c:val>
            <c:numRef>
              <c:f>'patient Disease'!$B$4:$B$13</c:f>
              <c:numCache>
                <c:formatCode>General</c:formatCode>
                <c:ptCount val="10"/>
                <c:pt idx="0">
                  <c:v>5</c:v>
                </c:pt>
                <c:pt idx="1">
                  <c:v>5</c:v>
                </c:pt>
                <c:pt idx="2">
                  <c:v>5</c:v>
                </c:pt>
                <c:pt idx="3">
                  <c:v>5</c:v>
                </c:pt>
                <c:pt idx="4">
                  <c:v>5</c:v>
                </c:pt>
                <c:pt idx="5">
                  <c:v>5</c:v>
                </c:pt>
                <c:pt idx="6">
                  <c:v>5</c:v>
                </c:pt>
                <c:pt idx="7">
                  <c:v>5</c:v>
                </c:pt>
                <c:pt idx="8">
                  <c:v>5</c:v>
                </c:pt>
                <c:pt idx="9">
                  <c:v>5</c:v>
                </c:pt>
              </c:numCache>
            </c:numRef>
          </c:val>
          <c:extLst>
            <c:ext xmlns:c16="http://schemas.microsoft.com/office/drawing/2014/chart" uri="{C3380CC4-5D6E-409C-BE32-E72D297353CC}">
              <c16:uniqueId val="{00000016-235A-41D8-92DB-47CF66DD974E}"/>
            </c:ext>
          </c:extLst>
        </c:ser>
        <c:dLbls>
          <c:dLblPos val="inEnd"/>
          <c:showLegendKey val="0"/>
          <c:showVal val="0"/>
          <c:showCatName val="0"/>
          <c:showSerName val="0"/>
          <c:showPercent val="1"/>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[store data.xlsx]Patients Gander!PivotTable2</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Patients Gander</a:t>
            </a:r>
          </a:p>
        </c:rich>
      </c:tx>
      <c:layout>
        <c:manualLayout>
          <c:xMode val="edge"/>
          <c:yMode val="edge"/>
          <c:x val="0.29113313111003186"/>
          <c:y val="4.2123141749105253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106686726193964"/>
          <c:y val="0.17088559919701554"/>
          <c:w val="0.81071571277470911"/>
          <c:h val="0.71893591801629209"/>
        </c:manualLayout>
      </c:layout>
      <c:barChart>
        <c:barDir val="bar"/>
        <c:grouping val="clustered"/>
        <c:varyColors val="0"/>
        <c:ser>
          <c:idx val="0"/>
          <c:order val="0"/>
          <c:tx>
            <c:strRef>
              <c:f>'Patients Gander'!$B$3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'Patients Gander'!$A$4:$A$6</c:f>
              <c:strCache>
                <c:ptCount val="2"/>
                <c:pt idx="0">
                  <c:v>Female</c:v>
                </c:pt>
                <c:pt idx="1">
                  <c:v>Male</c:v>
                </c:pt>
              </c:strCache>
            </c:strRef>
          </c:cat>
          <c:val>
            <c:numRef>
              <c:f>'Patients Gander'!$B$4:$B$6</c:f>
              <c:numCache>
                <c:formatCode>General</c:formatCode>
                <c:ptCount val="2"/>
                <c:pt idx="0">
                  <c:v>25</c:v>
                </c:pt>
                <c:pt idx="1">
                  <c:v>25</c:v>
                </c:pt>
              </c:numCache>
            </c:numRef>
          </c:val>
          <c:extLst>
            <c:ext xmlns:c16="http://schemas.microsoft.com/office/drawing/2014/chart" uri="{C3380CC4-5D6E-409C-BE32-E72D297353CC}">
              <c16:uniqueId val="{00000000-8268-47C4-BF6B-2451697B5C02}"/>
            </c:ext>
          </c:extLst>
        </c:ser>
        <c:dLbls>
          <c:dLblPos val="inEnd"/>
          <c:showLegendKey val="0"/>
          <c:showVal val="1"/>
          <c:showCatName val="0"/>
          <c:showSerName val="0"/>
          <c:showPercent val="0"/>
          <c:showBubbleSize val="0"/>
        </c:dLbls>
        <c:gapWidth val="65"/>
        <c:axId val="1373789696"/>
        <c:axId val="1373775552"/>
      </c:barChart>
      <c:catAx>
        <c:axId val="1373789696"/>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73775552"/>
        <c:crosses val="autoZero"/>
        <c:auto val="1"/>
        <c:lblAlgn val="ctr"/>
        <c:lblOffset val="100"/>
        <c:noMultiLvlLbl val="0"/>
      </c:catAx>
      <c:valAx>
        <c:axId val="1373775552"/>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3737896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[store data.xlsx]Daly revenue!PivotTable3</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Daly revenue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s>
    <c:plotArea>
      <c:layout>
        <c:manualLayout>
          <c:layoutTarget val="inner"/>
          <c:xMode val="edge"/>
          <c:yMode val="edge"/>
          <c:x val="6.0984826600816909E-2"/>
          <c:y val="0.23903244498427101"/>
          <c:w val="0.92323608069701346"/>
          <c:h val="0.52372917106095762"/>
        </c:manualLayout>
      </c:layout>
      <c:lineChart>
        <c:grouping val="standard"/>
        <c:varyColors val="0"/>
        <c:ser>
          <c:idx val="0"/>
          <c:order val="0"/>
          <c:tx>
            <c:strRef>
              <c:f>'Daly revenue'!$B$3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'Daly revenue'!$A$4:$A$53</c:f>
              <c:strCache>
                <c:ptCount val="50"/>
                <c:pt idx="0">
                  <c:v>1-Mar</c:v>
                </c:pt>
                <c:pt idx="1">
                  <c:v>2-Mar</c:v>
                </c:pt>
                <c:pt idx="2">
                  <c:v>3-Mar</c:v>
                </c:pt>
                <c:pt idx="3">
                  <c:v>4-Mar</c:v>
                </c:pt>
                <c:pt idx="4">
                  <c:v>5-Mar</c:v>
                </c:pt>
                <c:pt idx="5">
                  <c:v>6-Mar</c:v>
                </c:pt>
                <c:pt idx="6">
                  <c:v>7-Mar</c:v>
                </c:pt>
                <c:pt idx="7">
                  <c:v>8-Mar</c:v>
                </c:pt>
                <c:pt idx="8">
                  <c:v>9-Mar</c:v>
                </c:pt>
                <c:pt idx="9">
                  <c:v>10-Mar</c:v>
                </c:pt>
                <c:pt idx="10">
                  <c:v>11-Mar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26-Mar</c:v>
                </c:pt>
                <c:pt idx="26">
                  <c:v>27-Mar</c:v>
                </c:pt>
                <c:pt idx="27">
                  <c:v>28-Mar</c:v>
                </c:pt>
                <c:pt idx="28">
                  <c:v>29-Mar</c:v>
                </c:pt>
                <c:pt idx="29">
                  <c:v>30-Mar</c:v>
                </c:pt>
                <c:pt idx="30">
                  <c:v>31-Mar</c:v>
                </c:pt>
                <c:pt idx="31">
                  <c:v>1-Apr</c:v>
                </c:pt>
                <c:pt idx="32">
                  <c:v>2-Apr</c:v>
                </c:pt>
                <c:pt idx="33">
                  <c:v>3-Apr</c:v>
                </c:pt>
                <c:pt idx="34">
                  <c:v>4-Apr</c:v>
                </c:pt>
                <c:pt idx="35">
                  <c:v>5-Apr</c:v>
                </c:pt>
                <c:pt idx="36">
                  <c:v>6-Apr</c:v>
                </c:pt>
                <c:pt idx="37">
                  <c:v>7-Apr</c:v>
                </c:pt>
                <c:pt idx="38">
                  <c:v>8-Apr</c:v>
                </c:pt>
                <c:pt idx="39">
                  <c:v>9-Apr</c:v>
                </c:pt>
                <c:pt idx="40">
                  <c:v>10-Apr</c:v>
                </c:pt>
                <c:pt idx="41">
                  <c:v>11-Apr</c:v>
                </c:pt>
                <c:pt idx="42">
                  <c:v>12-Apr</c:v>
                </c:pt>
                <c:pt idx="43">
                  <c:v>13-Apr</c:v>
                </c:pt>
                <c:pt idx="44">
                  <c:v>14-Apr</c:v>
                </c:pt>
                <c:pt idx="45">
                  <c:v>15-Apr</c:v>
                </c:pt>
                <c:pt idx="46">
                  <c:v>16-Apr</c:v>
                </c:pt>
                <c:pt idx="47">
                  <c:v>17-Apr</c:v>
                </c:pt>
                <c:pt idx="48">
                  <c:v>18-Apr</c:v>
                </c:pt>
                <c:pt idx="49">
                  <c:v>19-Apr</c:v>
                </c:pt>
              </c:strCache>
            </c:strRef>
          </c:cat>
          <c:val>
            <c:numRef>
              <c:f>'Daly revenue'!$B$4:$B$53</c:f>
              <c:numCache>
                <c:formatCode>General</c:formatCode>
                <c:ptCount val="50"/>
                <c:pt idx="0">
                  <c:v>23000</c:v>
                </c:pt>
                <c:pt idx="1">
                  <c:v>9500</c:v>
                </c:pt>
                <c:pt idx="2">
                  <c:v>32000</c:v>
                </c:pt>
                <c:pt idx="3">
                  <c:v>19500</c:v>
                </c:pt>
                <c:pt idx="4">
                  <c:v>48000</c:v>
                </c:pt>
                <c:pt idx="5">
                  <c:v>14000</c:v>
                </c:pt>
                <c:pt idx="6">
                  <c:v>28000</c:v>
                </c:pt>
                <c:pt idx="7">
                  <c:v>12500</c:v>
                </c:pt>
                <c:pt idx="8">
                  <c:v>22000</c:v>
                </c:pt>
                <c:pt idx="9">
                  <c:v>16000</c:v>
                </c:pt>
                <c:pt idx="10">
                  <c:v>24500</c:v>
                </c:pt>
                <c:pt idx="11">
                  <c:v>20500</c:v>
                </c:pt>
                <c:pt idx="12">
                  <c:v>51000</c:v>
                </c:pt>
                <c:pt idx="13">
                  <c:v>10000</c:v>
                </c:pt>
                <c:pt idx="14">
                  <c:v>33000</c:v>
                </c:pt>
                <c:pt idx="15">
                  <c:v>13000</c:v>
                </c:pt>
                <c:pt idx="16">
                  <c:v>15000</c:v>
                </c:pt>
                <c:pt idx="17">
                  <c:v>29000</c:v>
                </c:pt>
                <c:pt idx="18">
                  <c:v>23000</c:v>
                </c:pt>
                <c:pt idx="19">
                  <c:v>17000</c:v>
                </c:pt>
                <c:pt idx="20">
                  <c:v>23500</c:v>
                </c:pt>
                <c:pt idx="21">
                  <c:v>20000</c:v>
                </c:pt>
                <c:pt idx="22">
                  <c:v>49500</c:v>
                </c:pt>
                <c:pt idx="23">
                  <c:v>9500</c:v>
                </c:pt>
                <c:pt idx="24">
                  <c:v>34000</c:v>
                </c:pt>
                <c:pt idx="25">
                  <c:v>12500</c:v>
                </c:pt>
                <c:pt idx="26">
                  <c:v>14500</c:v>
                </c:pt>
                <c:pt idx="27">
                  <c:v>28500</c:v>
                </c:pt>
                <c:pt idx="28">
                  <c:v>22500</c:v>
                </c:pt>
                <c:pt idx="29">
                  <c:v>16500</c:v>
                </c:pt>
                <c:pt idx="30">
                  <c:v>24500</c:v>
                </c:pt>
                <c:pt idx="31">
                  <c:v>20500</c:v>
                </c:pt>
                <c:pt idx="32">
                  <c:v>52000</c:v>
                </c:pt>
                <c:pt idx="33">
                  <c:v>10000</c:v>
                </c:pt>
                <c:pt idx="34">
                  <c:v>32000</c:v>
                </c:pt>
                <c:pt idx="35">
                  <c:v>13000</c:v>
                </c:pt>
                <c:pt idx="36">
                  <c:v>15000</c:v>
                </c:pt>
                <c:pt idx="37">
                  <c:v>28000</c:v>
                </c:pt>
                <c:pt idx="38">
                  <c:v>23000</c:v>
                </c:pt>
                <c:pt idx="39">
                  <c:v>16000</c:v>
                </c:pt>
                <c:pt idx="40">
                  <c:v>23500</c:v>
                </c:pt>
                <c:pt idx="41">
                  <c:v>20000</c:v>
                </c:pt>
                <c:pt idx="42">
                  <c:v>53500</c:v>
                </c:pt>
                <c:pt idx="43">
                  <c:v>9500</c:v>
                </c:pt>
                <c:pt idx="44">
                  <c:v>33000</c:v>
                </c:pt>
                <c:pt idx="45">
                  <c:v>12500</c:v>
                </c:pt>
                <c:pt idx="46">
                  <c:v>14500</c:v>
                </c:pt>
                <c:pt idx="47">
                  <c:v>29000</c:v>
                </c:pt>
                <c:pt idx="48">
                  <c:v>22500</c:v>
                </c:pt>
                <c:pt idx="49">
                  <c:v>17000</c:v>
                </c:pt>
              </c:numCache>
            </c:numRef>
          </c:val>
          <c:smooth val="0"/>
          <c:extLst>
            <c:ext xmlns:c16="http://schemas.microsoft.com/office/drawing/2014/chart" uri="{C3380CC4-5D6E-409C-BE32-E72D297353CC}">
              <c16:uniqueId val="{00000003-86D2-4316-BD06-936551D519FE}"/>
            </c:ext>
          </c:extLst>
        </c:ser>
        <c:dLbls>
          <c:dLblPos val="t"/>
          <c:showLegendKey val="0"/>
          <c:showVal val="1"/>
          <c:showCatName val="0"/>
          <c:showSerName val="0"/>
          <c:showPercent val="0"/>
          <c:showBubbleSize val="0"/>
        </c:dLbls>
        <c:marker val="1"/>
        <c:smooth val="0"/>
        <c:axId val="1365609792"/>
        <c:axId val="1365613536"/>
      </c:lineChart>
      <c:catAx>
        <c:axId val="136560979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5613536"/>
        <c:crosses val="autoZero"/>
        <c:auto val="1"/>
        <c:lblAlgn val="ctr"/>
        <c:lblOffset val="100"/>
        <c:noMultiLvlLbl val="0"/>
      </c:catAx>
      <c:valAx>
        <c:axId val="13656135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56097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[store data.xlsx]patient Disease!PivotTable1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patient</a:t>
            </a:r>
            <a:r>
              <a:rPr lang="en-US" baseline="0"/>
              <a:t> Disease</a:t>
            </a:r>
            <a:endParaRPr lang="en-US"/>
          </a:p>
        </c:rich>
      </c:tx>
      <c:layout>
        <c:manualLayout>
          <c:xMode val="edge"/>
          <c:yMode val="edge"/>
          <c:x val="0.35399825021872267"/>
          <c:y val="5.6022408963585435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3521373208630608"/>
                  <c:h val="0.14608662604957187"/>
                </c:manualLayout>
              </c15:layout>
            </c:ext>
          </c:extLst>
        </c:dLbl>
      </c:pivotFmt>
      <c:pivotFmt>
        <c:idx val="11"/>
        <c:spPr>
          <a:solidFill>
            <a:schemeClr val="accent1"/>
          </a:solidFill>
          <a:ln w="19050">
            <a:solidFill>
              <a:schemeClr val="lt1"/>
            </a:solidFill>
          </a:ln>
          <a:effectLst/>
        </c:spPr>
      </c:pivotFmt>
    </c:pivotFmts>
    <c:plotArea>
      <c:layout/>
      <c:pieChart>
        <c:varyColors val="1"/>
        <c:ser>
          <c:idx val="0"/>
          <c:order val="0"/>
          <c:tx>
            <c:strRef>
              <c:f>'patient Disease'!$B$3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Lbls>
            <c:dLbl>
              <c:idx val="9"/>
              <c:dLblPos val="outEnd"/>
              <c:showLegendKey val="0"/>
              <c:showVal val="0"/>
              <c:showCatName val="1"/>
              <c:showSerName val="0"/>
              <c:showPercent val="1"/>
              <c:showBubbleSize val="0"/>
              <c:extLst>
                <c:ext xmlns:c15="http://schemas.microsoft.com/office/drawing/2012/chart" uri="{CE6537A1-D6FC-4f65-9D91-7224C49458BB}">
                  <c15:layout>
                    <c:manualLayout>
                      <c:w val="0.13521373208630608"/>
                      <c:h val="0.14608662604957187"/>
                    </c:manualLayout>
                  </c15:layout>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'patient Disease'!$A$4:$A$13</c:f>
              <c:strCache>
                <c:ptCount val="10"/>
                <c:pt idx="0">
                  <c:v>Arthritis</c:v>
                </c:pt>
                <c:pt idx="1">
                  <c:v>Asthma</c:v>
                </c:pt>
                <c:pt idx="2">
                  <c:v>Covid-19</c:v>
                </c:pt>
                <c:pt idx="3">
                  <c:v>Diabetes</c:v>
                </c:pt>
                <c:pt idx="4">
                  <c:v>Flu</c:v>
                </c:pt>
                <c:pt idx="5">
                  <c:v>Fracture</c:v>
                </c:pt>
                <c:pt idx="6">
                  <c:v>Heart Disease</c:v>
                </c:pt>
                <c:pt idx="7">
                  <c:v>Hypertension</c:v>
                </c:pt>
                <c:pt idx="8">
                  <c:v>Migraine</c:v>
                </c:pt>
                <c:pt idx="9">
                  <c:v>Thyroid</c:v>
                </c:pt>
              </c:strCache>
            </c:strRef>
          </c:cat>
          <c:val>
            <c:numRef>
              <c:f>'patient Disease'!$B$4:$B$13</c:f>
              <c:numCache>
                <c:formatCode>General</c:formatCode>
                <c:ptCount val="10"/>
                <c:pt idx="0">
                  <c:v>5</c:v>
                </c:pt>
                <c:pt idx="1">
                  <c:v>5</c:v>
                </c:pt>
                <c:pt idx="2">
                  <c:v>5</c:v>
                </c:pt>
                <c:pt idx="3">
                  <c:v>5</c:v>
                </c:pt>
                <c:pt idx="4">
                  <c:v>5</c:v>
                </c:pt>
                <c:pt idx="5">
                  <c:v>5</c:v>
                </c:pt>
                <c:pt idx="6">
                  <c:v>5</c:v>
                </c:pt>
                <c:pt idx="7">
                  <c:v>5</c:v>
                </c:pt>
                <c:pt idx="8">
                  <c:v>5</c:v>
                </c:pt>
                <c:pt idx="9">
                  <c:v>5</c:v>
                </c:pt>
              </c:numCache>
            </c:numRef>
          </c:val>
          <c:extLst>
            <c:ext xmlns:c16="http://schemas.microsoft.com/office/drawing/2014/chart" uri="{C3380CC4-5D6E-409C-BE32-E72D297353CC}">
              <c16:uniqueId val="{00000015-9A55-4693-8EFF-07DD500AF4A1}"/>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[store data.xlsx]Doctor Revenue!PivotTable1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Doctor</a:t>
            </a:r>
            <a:r>
              <a:rPr lang="en-US" baseline="0"/>
              <a:t>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280314960629922"/>
          <c:y val="0.14393518518518519"/>
          <c:w val="0.85219685039370074"/>
          <c:h val="0.77181357538640982"/>
        </c:manualLayout>
      </c:layout>
      <c:barChart>
        <c:barDir val="col"/>
        <c:grouping val="clustered"/>
        <c:varyColors val="0"/>
        <c:ser>
          <c:idx val="0"/>
          <c:order val="0"/>
          <c:tx>
            <c:strRef>
              <c:f>'Doctor Revenue'!$B$3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'Doctor Revenue'!$A$4:$A$9</c:f>
              <c:strCache>
                <c:ptCount val="6"/>
                <c:pt idx="0">
                  <c:v>Dr. Iyer</c:v>
                </c:pt>
                <c:pt idx="1">
                  <c:v>Dr. Kulkarni</c:v>
                </c:pt>
                <c:pt idx="2">
                  <c:v>Dr. Mehta</c:v>
                </c:pt>
                <c:pt idx="3">
                  <c:v>Dr. Rao</c:v>
                </c:pt>
                <c:pt idx="4">
                  <c:v>Dr. Shah</c:v>
                </c:pt>
                <c:pt idx="5">
                  <c:v>Dr. Singh</c:v>
                </c:pt>
              </c:strCache>
            </c:strRef>
          </c:cat>
          <c:val>
            <c:numRef>
              <c:f>'Doctor Revenue'!$B$4:$B$9</c:f>
              <c:numCache>
                <c:formatCode>General</c:formatCode>
                <c:ptCount val="6"/>
                <c:pt idx="0">
                  <c:v>135500</c:v>
                </c:pt>
                <c:pt idx="1">
                  <c:v>151500</c:v>
                </c:pt>
                <c:pt idx="2">
                  <c:v>274500</c:v>
                </c:pt>
                <c:pt idx="3">
                  <c:v>136500</c:v>
                </c:pt>
                <c:pt idx="4">
                  <c:v>229500</c:v>
                </c:pt>
                <c:pt idx="5">
                  <c:v>233000</c:v>
                </c:pt>
              </c:numCache>
            </c:numRef>
          </c:val>
          <c:extLst>
            <c:ext xmlns:c16="http://schemas.microsoft.com/office/drawing/2014/chart" uri="{C3380CC4-5D6E-409C-BE32-E72D297353CC}">
              <c16:uniqueId val="{00000001-0139-4C95-9676-84260F83DA00}"/>
            </c:ext>
          </c:extLst>
        </c:ser>
        <c:dLbls>
          <c:dLblPos val="outEnd"/>
          <c:showLegendKey val="0"/>
          <c:showVal val="1"/>
          <c:showCatName val="0"/>
          <c:showSerName val="0"/>
          <c:showPercent val="0"/>
          <c:showBubbleSize val="0"/>
        </c:dLbls>
        <c:gapWidth val="219"/>
        <c:overlap val="-27"/>
        <c:axId val="1365586912"/>
        <c:axId val="1365583584"/>
      </c:barChart>
      <c:catAx>
        <c:axId val="1365586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5583584"/>
        <c:crosses val="autoZero"/>
        <c:auto val="1"/>
        <c:lblAlgn val="ctr"/>
        <c:lblOffset val="100"/>
        <c:noMultiLvlLbl val="0"/>
      </c:catAx>
      <c:valAx>
        <c:axId val="13655835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55869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[store data.xlsx]Patients Gander!PivotTable2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Patients</a:t>
            </a:r>
            <a:r>
              <a:rPr lang="en-US" baseline="0"/>
              <a:t> Gander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'Patients Gander'!$B$3</c:f>
              <c:strCache>
                <c:ptCount val="1"/>
                <c:pt idx="0">
                  <c:v>Total</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'Patients Gander'!$A$4:$A$6</c:f>
              <c:strCache>
                <c:ptCount val="2"/>
                <c:pt idx="0">
                  <c:v>Female</c:v>
                </c:pt>
                <c:pt idx="1">
                  <c:v>Male</c:v>
                </c:pt>
              </c:strCache>
            </c:strRef>
          </c:cat>
          <c:val>
            <c:numRef>
              <c:f>'Patients Gander'!$B$4:$B$6</c:f>
              <c:numCache>
                <c:formatCode>General</c:formatCode>
                <c:ptCount val="2"/>
                <c:pt idx="0">
                  <c:v>25</c:v>
                </c:pt>
                <c:pt idx="1">
                  <c:v>25</c:v>
                </c:pt>
              </c:numCache>
            </c:numRef>
          </c:val>
          <c:extLst>
            <c:ext xmlns:c16="http://schemas.microsoft.com/office/drawing/2014/chart" uri="{C3380CC4-5D6E-409C-BE32-E72D297353CC}">
              <c16:uniqueId val="{00000000-998B-4131-ADEB-C9C0D7CE1DC6}"/>
            </c:ext>
          </c:extLst>
        </c:ser>
        <c:dLbls>
          <c:showLegendKey val="0"/>
          <c:showVal val="0"/>
          <c:showCatName val="0"/>
          <c:showSerName val="0"/>
          <c:showPercent val="0"/>
          <c:showBubbleSize val="0"/>
        </c:dLbls>
        <c:gapWidth val="182"/>
        <c:axId val="1373789696"/>
        <c:axId val="1373775552"/>
      </c:barChart>
      <c:catAx>
        <c:axId val="13737896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3775552"/>
        <c:crosses val="autoZero"/>
        <c:auto val="1"/>
        <c:lblAlgn val="ctr"/>
        <c:lblOffset val="100"/>
        <c:noMultiLvlLbl val="0"/>
      </c:catAx>
      <c:valAx>
        <c:axId val="13737755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37896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[store data.xlsx]Daly revenue!PivotTable3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Daly</a:t>
            </a:r>
            <a:r>
              <a:rPr lang="en-US" baseline="0"/>
              <a:t>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'Daly revenue'!$B$3</c:f>
              <c:strCache>
                <c:ptCount val="1"/>
                <c:pt idx="0">
                  <c:v>Total</c:v>
                </c:pt>
              </c:strCache>
            </c:strRef>
          </c:tx>
          <c:spPr>
            <a:ln w="28575" cap="rnd">
              <a:solidFill>
                <a:schemeClr val="accent1"/>
              </a:solidFill>
              <a:round/>
            </a:ln>
            <a:effectLst/>
          </c:spPr>
          <c:marker>
            <c:symbol val="none"/>
          </c:marker>
          <c:dPt>
            <c:idx val="32"/>
            <c:marker>
              <c:symbol val="none"/>
            </c:marker>
            <c:bubble3D val="0"/>
          </c:dPt>
          <c:dPt>
            <c:idx val="42"/>
            <c:marker>
              <c:symbol val="none"/>
            </c:marker>
            <c:bubble3D val="0"/>
          </c:dPt>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'Daly revenue'!$A$4:$A$53</c:f>
              <c:strCache>
                <c:ptCount val="50"/>
                <c:pt idx="0">
                  <c:v>1-Mar</c:v>
                </c:pt>
                <c:pt idx="1">
                  <c:v>2-Mar</c:v>
                </c:pt>
                <c:pt idx="2">
                  <c:v>3-Mar</c:v>
                </c:pt>
                <c:pt idx="3">
                  <c:v>4-Mar</c:v>
                </c:pt>
                <c:pt idx="4">
                  <c:v>5-Mar</c:v>
                </c:pt>
                <c:pt idx="5">
                  <c:v>6-Mar</c:v>
                </c:pt>
                <c:pt idx="6">
                  <c:v>7-Mar</c:v>
                </c:pt>
                <c:pt idx="7">
                  <c:v>8-Mar</c:v>
                </c:pt>
                <c:pt idx="8">
                  <c:v>9-Mar</c:v>
                </c:pt>
                <c:pt idx="9">
                  <c:v>10-Mar</c:v>
                </c:pt>
                <c:pt idx="10">
                  <c:v>11-Mar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26-Mar</c:v>
                </c:pt>
                <c:pt idx="26">
                  <c:v>27-Mar</c:v>
                </c:pt>
                <c:pt idx="27">
                  <c:v>28-Mar</c:v>
                </c:pt>
                <c:pt idx="28">
                  <c:v>29-Mar</c:v>
                </c:pt>
                <c:pt idx="29">
                  <c:v>30-Mar</c:v>
                </c:pt>
                <c:pt idx="30">
                  <c:v>31-Mar</c:v>
                </c:pt>
                <c:pt idx="31">
                  <c:v>1-Apr</c:v>
                </c:pt>
                <c:pt idx="32">
                  <c:v>2-Apr</c:v>
                </c:pt>
                <c:pt idx="33">
                  <c:v>3-Apr</c:v>
                </c:pt>
                <c:pt idx="34">
                  <c:v>4-Apr</c:v>
                </c:pt>
                <c:pt idx="35">
                  <c:v>5-Apr</c:v>
                </c:pt>
                <c:pt idx="36">
                  <c:v>6-Apr</c:v>
                </c:pt>
                <c:pt idx="37">
                  <c:v>7-Apr</c:v>
                </c:pt>
                <c:pt idx="38">
                  <c:v>8-Apr</c:v>
                </c:pt>
                <c:pt idx="39">
                  <c:v>9-Apr</c:v>
                </c:pt>
                <c:pt idx="40">
                  <c:v>10-Apr</c:v>
                </c:pt>
                <c:pt idx="41">
                  <c:v>11-Apr</c:v>
                </c:pt>
                <c:pt idx="42">
                  <c:v>12-Apr</c:v>
                </c:pt>
                <c:pt idx="43">
                  <c:v>13-Apr</c:v>
                </c:pt>
                <c:pt idx="44">
                  <c:v>14-Apr</c:v>
                </c:pt>
                <c:pt idx="45">
                  <c:v>15-Apr</c:v>
                </c:pt>
                <c:pt idx="46">
                  <c:v>16-Apr</c:v>
                </c:pt>
                <c:pt idx="47">
                  <c:v>17-Apr</c:v>
                </c:pt>
                <c:pt idx="48">
                  <c:v>18-Apr</c:v>
                </c:pt>
                <c:pt idx="49">
                  <c:v>19-Apr</c:v>
                </c:pt>
              </c:strCache>
            </c:strRef>
          </c:cat>
          <c:val>
            <c:numRef>
              <c:f>'Daly revenue'!$B$4:$B$53</c:f>
              <c:numCache>
                <c:formatCode>General</c:formatCode>
                <c:ptCount val="50"/>
                <c:pt idx="0">
                  <c:v>23000</c:v>
                </c:pt>
                <c:pt idx="1">
                  <c:v>9500</c:v>
                </c:pt>
                <c:pt idx="2">
                  <c:v>32000</c:v>
                </c:pt>
                <c:pt idx="3">
                  <c:v>19500</c:v>
                </c:pt>
                <c:pt idx="4">
                  <c:v>48000</c:v>
                </c:pt>
                <c:pt idx="5">
                  <c:v>14000</c:v>
                </c:pt>
                <c:pt idx="6">
                  <c:v>28000</c:v>
                </c:pt>
                <c:pt idx="7">
                  <c:v>12500</c:v>
                </c:pt>
                <c:pt idx="8">
                  <c:v>22000</c:v>
                </c:pt>
                <c:pt idx="9">
                  <c:v>16000</c:v>
                </c:pt>
                <c:pt idx="10">
                  <c:v>24500</c:v>
                </c:pt>
                <c:pt idx="11">
                  <c:v>20500</c:v>
                </c:pt>
                <c:pt idx="12">
                  <c:v>51000</c:v>
                </c:pt>
                <c:pt idx="13">
                  <c:v>10000</c:v>
                </c:pt>
                <c:pt idx="14">
                  <c:v>33000</c:v>
                </c:pt>
                <c:pt idx="15">
                  <c:v>13000</c:v>
                </c:pt>
                <c:pt idx="16">
                  <c:v>15000</c:v>
                </c:pt>
                <c:pt idx="17">
                  <c:v>29000</c:v>
                </c:pt>
                <c:pt idx="18">
                  <c:v>23000</c:v>
                </c:pt>
                <c:pt idx="19">
                  <c:v>17000</c:v>
                </c:pt>
                <c:pt idx="20">
                  <c:v>23500</c:v>
                </c:pt>
                <c:pt idx="21">
                  <c:v>20000</c:v>
                </c:pt>
                <c:pt idx="22">
                  <c:v>49500</c:v>
                </c:pt>
                <c:pt idx="23">
                  <c:v>9500</c:v>
                </c:pt>
                <c:pt idx="24">
                  <c:v>34000</c:v>
                </c:pt>
                <c:pt idx="25">
                  <c:v>12500</c:v>
                </c:pt>
                <c:pt idx="26">
                  <c:v>14500</c:v>
                </c:pt>
                <c:pt idx="27">
                  <c:v>28500</c:v>
                </c:pt>
                <c:pt idx="28">
                  <c:v>22500</c:v>
                </c:pt>
                <c:pt idx="29">
                  <c:v>16500</c:v>
                </c:pt>
                <c:pt idx="30">
                  <c:v>24500</c:v>
                </c:pt>
                <c:pt idx="31">
                  <c:v>20500</c:v>
                </c:pt>
                <c:pt idx="32">
                  <c:v>52000</c:v>
                </c:pt>
                <c:pt idx="33">
                  <c:v>10000</c:v>
                </c:pt>
                <c:pt idx="34">
                  <c:v>32000</c:v>
                </c:pt>
                <c:pt idx="35">
                  <c:v>13000</c:v>
                </c:pt>
                <c:pt idx="36">
                  <c:v>15000</c:v>
                </c:pt>
                <c:pt idx="37">
                  <c:v>28000</c:v>
                </c:pt>
                <c:pt idx="38">
                  <c:v>23000</c:v>
                </c:pt>
                <c:pt idx="39">
                  <c:v>16000</c:v>
                </c:pt>
                <c:pt idx="40">
                  <c:v>23500</c:v>
                </c:pt>
                <c:pt idx="41">
                  <c:v>20000</c:v>
                </c:pt>
                <c:pt idx="42">
                  <c:v>53500</c:v>
                </c:pt>
                <c:pt idx="43">
                  <c:v>9500</c:v>
                </c:pt>
                <c:pt idx="44">
                  <c:v>33000</c:v>
                </c:pt>
                <c:pt idx="45">
                  <c:v>12500</c:v>
                </c:pt>
                <c:pt idx="46">
                  <c:v>14500</c:v>
                </c:pt>
                <c:pt idx="47">
                  <c:v>29000</c:v>
                </c:pt>
                <c:pt idx="48">
                  <c:v>22500</c:v>
                </c:pt>
                <c:pt idx="49">
                  <c:v>17000</c:v>
                </c:pt>
              </c:numCache>
            </c:numRef>
          </c:val>
          <c:smooth val="0"/>
          <c:extLst>
            <c:ext xmlns:c16="http://schemas.microsoft.com/office/drawing/2014/chart" uri="{C3380CC4-5D6E-409C-BE32-E72D297353CC}">
              <c16:uniqueId val="{00000001-3066-4924-8317-7155D06E42BC}"/>
            </c:ext>
          </c:extLst>
        </c:ser>
        <c:dLbls>
          <c:dLblPos val="t"/>
          <c:showLegendKey val="0"/>
          <c:showVal val="1"/>
          <c:showCatName val="0"/>
          <c:showSerName val="0"/>
          <c:showPercent val="0"/>
          <c:showBubbleSize val="0"/>
        </c:dLbls>
        <c:smooth val="0"/>
        <c:axId val="1365609792"/>
        <c:axId val="1365613536"/>
      </c:lineChart>
      <c:catAx>
        <c:axId val="1365609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5613536"/>
        <c:crosses val="autoZero"/>
        <c:auto val="1"/>
        <c:lblAlgn val="ctr"/>
        <c:lblOffset val="100"/>
        <c:noMultiLvlLbl val="0"/>
      </c:catAx>
      <c:valAx>
        <c:axId val="13656135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56097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_rels/vmlDrawing1.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13</xdr:col>
          <xdr:colOff>257175</xdr:colOff>
          <xdr:row>1</xdr:row>
          <xdr:rowOff>123825</xdr:rowOff>
        </xdr:from>
        <xdr:to>
          <xdr:col>13</xdr:col>
          <xdr:colOff>333375</xdr:colOff>
          <xdr:row>2</xdr:row>
          <xdr:rowOff>104775</xdr:rowOff>
        </xdr:to>
        <xdr:sp macro="" textlink="">
          <xdr:nvSpPr>
            <xdr:cNvPr id="5121" name="TextBox1" hidden="1">
              <a:extLst>
                <a:ext uri="{63B3BB69-23CF-44E3-9099-C40C66FF867C}">
                  <a14:compatExt spid="_x0000_s5121"/>
                </a:ext>
                <a:ext uri="{FF2B5EF4-FFF2-40B4-BE49-F238E27FC236}">
                  <a16:creationId xmlns:a16="http://schemas.microsoft.com/office/drawing/2014/main" id="{00000000-0008-0000-0000-00000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0</xdr:colOff>
          <xdr:row>1</xdr:row>
          <xdr:rowOff>19050</xdr:rowOff>
        </xdr:from>
        <xdr:to>
          <xdr:col>22</xdr:col>
          <xdr:colOff>723900</xdr:colOff>
          <xdr:row>3</xdr:row>
          <xdr:rowOff>38100</xdr:rowOff>
        </xdr:to>
        <xdr:sp macro="" textlink="">
          <xdr:nvSpPr>
            <xdr:cNvPr id="5122" name="TextBox2" hidden="1">
              <a:extLst>
                <a:ext uri="{63B3BB69-23CF-44E3-9099-C40C66FF867C}">
                  <a14:compatExt spid="_x0000_s5122"/>
                </a:ext>
                <a:ext uri="{FF2B5EF4-FFF2-40B4-BE49-F238E27FC236}">
                  <a16:creationId xmlns:a16="http://schemas.microsoft.com/office/drawing/2014/main" id="{00000000-0008-0000-0000-00000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6</xdr:col>
      <xdr:colOff>249463</xdr:colOff>
      <xdr:row>2</xdr:row>
      <xdr:rowOff>36285</xdr:rowOff>
    </xdr:from>
    <xdr:to>
      <xdr:col>13</xdr:col>
      <xdr:colOff>545986</xdr:colOff>
      <xdr:row>15</xdr:row>
      <xdr:rowOff>136071</xdr:rowOff>
    </xdr:to>
    <xdr:graphicFrame macro="">
      <xdr:nvGraphicFramePr>
        <xdr:cNvPr id="3" name="Chart 2">
          <a:extLst>
            <a:ext uri="{FF2B5EF4-FFF2-40B4-BE49-F238E27FC236}">
              <a16:creationId xmlns:a16="http://schemas.microsoft.com/office/drawing/2014/main" id="{00000000-0008-0000-01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83911</xdr:colOff>
      <xdr:row>2</xdr:row>
      <xdr:rowOff>60098</xdr:rowOff>
    </xdr:from>
    <xdr:to>
      <xdr:col>6</xdr:col>
      <xdr:colOff>210457</xdr:colOff>
      <xdr:row>15</xdr:row>
      <xdr:rowOff>90714</xdr:rowOff>
    </xdr:to>
    <xdr:graphicFrame macro="">
      <xdr:nvGraphicFramePr>
        <xdr:cNvPr id="4" name="Chart 3">
          <a:extLst>
            <a:ext uri="{FF2B5EF4-FFF2-40B4-BE49-F238E27FC236}">
              <a16:creationId xmlns:a16="http://schemas.microsoft.com/office/drawing/2014/main" id="{00000000-0008-0000-01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31760</xdr:colOff>
      <xdr:row>15</xdr:row>
      <xdr:rowOff>175903</xdr:rowOff>
    </xdr:from>
    <xdr:to>
      <xdr:col>23</xdr:col>
      <xdr:colOff>399556</xdr:colOff>
      <xdr:row>26</xdr:row>
      <xdr:rowOff>112825</xdr:rowOff>
    </xdr:to>
    <xdr:graphicFrame macro="">
      <xdr:nvGraphicFramePr>
        <xdr:cNvPr id="5" name="Chart 4">
          <a:extLst>
            <a:ext uri="{FF2B5EF4-FFF2-40B4-BE49-F238E27FC236}">
              <a16:creationId xmlns:a16="http://schemas.microsoft.com/office/drawing/2014/main" id="{00000000-0008-0000-01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150142</xdr:colOff>
      <xdr:row>16</xdr:row>
      <xdr:rowOff>3093</xdr:rowOff>
    </xdr:from>
    <xdr:to>
      <xdr:col>13</xdr:col>
      <xdr:colOff>432923</xdr:colOff>
      <xdr:row>26</xdr:row>
      <xdr:rowOff>124732</xdr:rowOff>
    </xdr:to>
    <xdr:graphicFrame macro="">
      <xdr:nvGraphicFramePr>
        <xdr:cNvPr id="9" name="Chart 8">
          <a:extLst>
            <a:ext uri="{FF2B5EF4-FFF2-40B4-BE49-F238E27FC236}">
              <a16:creationId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14</xdr:col>
      <xdr:colOff>19843</xdr:colOff>
      <xdr:row>2</xdr:row>
      <xdr:rowOff>26080</xdr:rowOff>
    </xdr:from>
    <xdr:to>
      <xdr:col>15</xdr:col>
      <xdr:colOff>596446</xdr:colOff>
      <xdr:row>15</xdr:row>
      <xdr:rowOff>113393</xdr:rowOff>
    </xdr:to>
    <mc:AlternateContent xmlns:mc="http://schemas.openxmlformats.org/markup-compatibility/2006">
      <mc:Choice xmlns:a14="http://schemas.microsoft.com/office/drawing/2010/main" Requires="a14">
        <xdr:graphicFrame macro="">
          <xdr:nvGraphicFramePr>
            <xdr:cNvPr id="10" name="Patient ID">
              <a:extLst>
                <a:ext uri="{FF2B5EF4-FFF2-40B4-BE49-F238E27FC236}">
                  <a16:creationId xmlns:a16="http://schemas.microsoft.com/office/drawing/2014/main" id="{00000000-0008-0000-0100-00000A000000}"/>
                </a:ext>
              </a:extLst>
            </xdr:cNvPr>
            <xdr:cNvGraphicFramePr/>
          </xdr:nvGraphicFramePr>
          <xdr:xfrm>
            <a:off x="0" y="0"/>
            <a:ext cx="0" cy="0"/>
          </xdr:xfrm>
          <a:graphic>
            <a:graphicData uri="http://schemas.microsoft.com/office/drawing/2010/slicer">
              <sle:slicer xmlns:sle="http://schemas.microsoft.com/office/drawing/2010/slicer" name="Patient ID"/>
            </a:graphicData>
          </a:graphic>
        </xdr:graphicFrame>
      </mc:Choice>
      <mc:Fallback>
        <xdr:sp macro="" textlink="">
          <xdr:nvSpPr>
            <xdr:cNvPr id="0" name=""/>
            <xdr:cNvSpPr>
              <a:spLocks noTextEdit="1"/>
            </xdr:cNvSpPr>
          </xdr:nvSpPr>
          <xdr:spPr>
            <a:xfrm>
              <a:off x="8592343" y="407080"/>
              <a:ext cx="1188924" cy="25638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291986</xdr:colOff>
      <xdr:row>2</xdr:row>
      <xdr:rowOff>37986</xdr:rowOff>
    </xdr:from>
    <xdr:to>
      <xdr:col>20</xdr:col>
      <xdr:colOff>559025</xdr:colOff>
      <xdr:row>15</xdr:row>
      <xdr:rowOff>113394</xdr:rowOff>
    </xdr:to>
    <mc:AlternateContent xmlns:mc="http://schemas.openxmlformats.org/markup-compatibility/2006">
      <mc:Choice xmlns:a14="http://schemas.microsoft.com/office/drawing/2010/main" Requires="a14">
        <xdr:graphicFrame macro="">
          <xdr:nvGraphicFramePr>
            <xdr:cNvPr id="11" name="Disease">
              <a:extLst>
                <a:ext uri="{FF2B5EF4-FFF2-40B4-BE49-F238E27FC236}">
                  <a16:creationId xmlns:a16="http://schemas.microsoft.com/office/drawing/2014/main" id="{00000000-0008-0000-0100-00000B000000}"/>
                </a:ext>
              </a:extLst>
            </xdr:cNvPr>
            <xdr:cNvGraphicFramePr/>
          </xdr:nvGraphicFramePr>
          <xdr:xfrm>
            <a:off x="0" y="0"/>
            <a:ext cx="0" cy="0"/>
          </xdr:xfrm>
          <a:graphic>
            <a:graphicData uri="http://schemas.microsoft.com/office/drawing/2010/slicer">
              <sle:slicer xmlns:sle="http://schemas.microsoft.com/office/drawing/2010/slicer" name="Disease"/>
            </a:graphicData>
          </a:graphic>
        </xdr:graphicFrame>
      </mc:Choice>
      <mc:Fallback>
        <xdr:sp macro="" textlink="">
          <xdr:nvSpPr>
            <xdr:cNvPr id="0" name=""/>
            <xdr:cNvSpPr>
              <a:spLocks noTextEdit="1"/>
            </xdr:cNvSpPr>
          </xdr:nvSpPr>
          <xdr:spPr>
            <a:xfrm>
              <a:off x="11313772" y="418986"/>
              <a:ext cx="1491682" cy="25519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77675</xdr:colOff>
      <xdr:row>2</xdr:row>
      <xdr:rowOff>26079</xdr:rowOff>
    </xdr:from>
    <xdr:to>
      <xdr:col>18</xdr:col>
      <xdr:colOff>196738</xdr:colOff>
      <xdr:row>15</xdr:row>
      <xdr:rowOff>124732</xdr:rowOff>
    </xdr:to>
    <mc:AlternateContent xmlns:mc="http://schemas.openxmlformats.org/markup-compatibility/2006">
      <mc:Choice xmlns:a14="http://schemas.microsoft.com/office/drawing/2010/main" Requires="a14">
        <xdr:graphicFrame macro="">
          <xdr:nvGraphicFramePr>
            <xdr:cNvPr id="12" name="Admission Date">
              <a:extLst>
                <a:ext uri="{FF2B5EF4-FFF2-40B4-BE49-F238E27FC236}">
                  <a16:creationId xmlns:a16="http://schemas.microsoft.com/office/drawing/2014/main" id="{00000000-0008-0000-0100-00000C000000}"/>
                </a:ext>
              </a:extLst>
            </xdr:cNvPr>
            <xdr:cNvGraphicFramePr/>
          </xdr:nvGraphicFramePr>
          <xdr:xfrm>
            <a:off x="0" y="0"/>
            <a:ext cx="0" cy="0"/>
          </xdr:xfrm>
          <a:graphic>
            <a:graphicData uri="http://schemas.microsoft.com/office/drawing/2010/slicer">
              <sle:slicer xmlns:sle="http://schemas.microsoft.com/office/drawing/2010/slicer" name="Admission Date"/>
            </a:graphicData>
          </a:graphic>
        </xdr:graphicFrame>
      </mc:Choice>
      <mc:Fallback>
        <xdr:sp macro="" textlink="">
          <xdr:nvSpPr>
            <xdr:cNvPr id="0" name=""/>
            <xdr:cNvSpPr>
              <a:spLocks noTextEdit="1"/>
            </xdr:cNvSpPr>
          </xdr:nvSpPr>
          <xdr:spPr>
            <a:xfrm>
              <a:off x="9874818" y="407079"/>
              <a:ext cx="1343706" cy="25751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19959</xdr:colOff>
      <xdr:row>2</xdr:row>
      <xdr:rowOff>36852</xdr:rowOff>
    </xdr:from>
    <xdr:to>
      <xdr:col>23</xdr:col>
      <xdr:colOff>374764</xdr:colOff>
      <xdr:row>15</xdr:row>
      <xdr:rowOff>147411</xdr:rowOff>
    </xdr:to>
    <mc:AlternateContent xmlns:mc="http://schemas.openxmlformats.org/markup-compatibility/2006">
      <mc:Choice xmlns:a14="http://schemas.microsoft.com/office/drawing/2010/main" Requires="a14">
        <xdr:graphicFrame macro="">
          <xdr:nvGraphicFramePr>
            <xdr:cNvPr id="14" name="Name">
              <a:extLst>
                <a:ext uri="{FF2B5EF4-FFF2-40B4-BE49-F238E27FC236}">
                  <a16:creationId xmlns:a16="http://schemas.microsoft.com/office/drawing/2014/main" id="{00000000-0008-0000-0100-00000E000000}"/>
                </a:ext>
              </a:extLst>
            </xdr:cNvPr>
            <xdr:cNvGraphicFramePr/>
          </xdr:nvGraphicFramePr>
          <xdr:xfrm>
            <a:off x="0" y="0"/>
            <a:ext cx="0" cy="0"/>
          </xdr:xfrm>
          <a:graphic>
            <a:graphicData uri="http://schemas.microsoft.com/office/drawing/2010/slicer">
              <sle:slicer xmlns:sle="http://schemas.microsoft.com/office/drawing/2010/slicer" name="Name"/>
            </a:graphicData>
          </a:graphic>
        </xdr:graphicFrame>
      </mc:Choice>
      <mc:Fallback>
        <xdr:sp macro="" textlink="">
          <xdr:nvSpPr>
            <xdr:cNvPr id="0" name=""/>
            <xdr:cNvSpPr>
              <a:spLocks noTextEdit="1"/>
            </xdr:cNvSpPr>
          </xdr:nvSpPr>
          <xdr:spPr>
            <a:xfrm>
              <a:off x="12878709" y="417852"/>
              <a:ext cx="1579448" cy="25870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76200</xdr:colOff>
      <xdr:row>1</xdr:row>
      <xdr:rowOff>19051</xdr:rowOff>
    </xdr:from>
    <xdr:to>
      <xdr:col>8</xdr:col>
      <xdr:colOff>476250</xdr:colOff>
      <xdr:row>13</xdr:row>
      <xdr:rowOff>1</xdr:rowOff>
    </xdr:to>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133350</xdr:colOff>
      <xdr:row>2</xdr:row>
      <xdr:rowOff>14287</xdr:rowOff>
    </xdr:from>
    <xdr:to>
      <xdr:col>9</xdr:col>
      <xdr:colOff>438150</xdr:colOff>
      <xdr:row>16</xdr:row>
      <xdr:rowOff>90487</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285750</xdr:colOff>
      <xdr:row>1</xdr:row>
      <xdr:rowOff>14287</xdr:rowOff>
    </xdr:from>
    <xdr:to>
      <xdr:col>9</xdr:col>
      <xdr:colOff>590550</xdr:colOff>
      <xdr:row>15</xdr:row>
      <xdr:rowOff>90487</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304798</xdr:colOff>
      <xdr:row>13</xdr:row>
      <xdr:rowOff>138112</xdr:rowOff>
    </xdr:from>
    <xdr:to>
      <xdr:col>15</xdr:col>
      <xdr:colOff>66675</xdr:colOff>
      <xdr:row>24</xdr:row>
      <xdr:rowOff>142875</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C" refreshedDate="46120.038645833331" createdVersion="7" refreshedVersion="7" minRefreshableVersion="3" recordCount="50" xr:uid="{997E2664-171B-4DB1-A0F4-4F7792138703}">
  <cacheSource type="worksheet">
    <worksheetSource ref="A1:K51" sheet="patient details"/>
  </cacheSource>
  <cacheFields count="12">
    <cacheField name="Patient ID" numFmtId="0">
      <sharedItems count="50">
        <s v="P001"/>
        <s v="P002"/>
        <s v="P003"/>
        <s v="P004"/>
        <s v="P005"/>
        <s v="P006"/>
        <s v="P007"/>
        <s v="P008"/>
        <s v="P009"/>
        <s v="P010"/>
        <s v="P011"/>
        <s v="P012"/>
        <s v="P013"/>
        <s v="P014"/>
        <s v="P015"/>
        <s v="P016"/>
        <s v="P017"/>
        <s v="P018"/>
        <s v="P019"/>
        <s v="P020"/>
        <s v="P021"/>
        <s v="P022"/>
        <s v="P023"/>
        <s v="P024"/>
        <s v="P025"/>
        <s v="P026"/>
        <s v="P027"/>
        <s v="P028"/>
        <s v="P029"/>
        <s v="P030"/>
        <s v="P031"/>
        <s v="P032"/>
        <s v="P033"/>
        <s v="P034"/>
        <s v="P035"/>
        <s v="P036"/>
        <s v="P037"/>
        <s v="P038"/>
        <s v="P039"/>
        <s v="P040"/>
        <s v="P041"/>
        <s v="P042"/>
        <s v="P043"/>
        <s v="P044"/>
        <s v="P045"/>
        <s v="P046"/>
        <s v="P047"/>
        <s v="P048"/>
        <s v="P049"/>
        <s v="P050"/>
      </sharedItems>
    </cacheField>
    <cacheField name="Name" numFmtId="0">
      <sharedItems count="50">
        <s v="Amit Sharma"/>
        <s v="Neha Patel"/>
        <s v="Rahul Verma"/>
        <s v="Pooja Nair"/>
        <s v="Karan Gupta"/>
        <s v="Sneha Joshi"/>
        <s v="Vikram Desai"/>
        <s v="Anjali Kapoor"/>
        <s v="Rohan Das"/>
        <s v="Meera Iyer"/>
        <s v="Arjun Reddy"/>
        <s v="Kavita Sharma"/>
        <s v="Suresh Yadav"/>
        <s v="Divya Menon"/>
        <s v="Manoj Tiwari"/>
        <s v="Ritu Jain"/>
        <s v="Sunil Chavan"/>
        <s v="Priyanka Das"/>
        <s v="Deepak Mishra"/>
        <s v="Shreya Sen"/>
        <s v="Nitin Agarwal"/>
        <s v="Alka Verma"/>
        <s v="Ramesh Pillai"/>
        <s v="Anita Roy"/>
        <s v="Gaurav Bansal"/>
        <s v="Sonal Shah"/>
        <s v="Harish Kumar"/>
        <s v="Nisha Gupta"/>
        <s v="Ajay Singh"/>
        <s v="Komal Arora"/>
        <s v="Sachin Patil"/>
        <s v="Rekha Nair"/>
        <s v="Prakash Shetty"/>
        <s v="Swati Kulkarni"/>
        <s v="Anil Verma"/>
        <s v="Rashmi Joshi"/>
        <s v="Naresh Yadav"/>
        <s v="Payal Jain"/>
        <s v="Rajesh Khanna"/>
        <s v="Simran Kaur"/>
        <s v="Ashok Das"/>
        <s v="Pallavi Sen"/>
        <s v="Devendra Singh"/>
        <s v="Riya Kapoor"/>
        <s v="Varun Malhotra"/>
        <s v="Neelam Gupta"/>
        <s v="Omkar Patil"/>
        <s v="Sheetal More"/>
        <s v="Sanjay Mishra"/>
        <s v="Tina Dsouza"/>
      </sharedItems>
    </cacheField>
    <cacheField name="Age" numFmtId="0">
      <sharedItems containsSemiMixedTypes="0" containsString="0" containsNumber="1" containsInteger="1" minValue="23" maxValue="66"/>
    </cacheField>
    <cacheField name="Gender" numFmtId="0">
      <sharedItems count="2">
        <s v="Male"/>
        <s v="Female"/>
      </sharedItems>
    </cacheField>
    <cacheField name="Disease" numFmtId="0">
      <sharedItems count="10">
        <s v="Diabetes"/>
        <s v="Flu"/>
        <s v="Fracture"/>
        <s v="Hypertension"/>
        <s v="Heart Disease"/>
        <s v="Asthma"/>
        <s v="Covid-19"/>
        <s v="Migraine"/>
        <s v="Arthritis"/>
        <s v="Thyroid"/>
      </sharedItems>
    </cacheField>
    <cacheField name="Doctor Assigned" numFmtId="0">
      <sharedItems count="6">
        <s v="Dr. Mehta"/>
        <s v="Dr. Rao"/>
        <s v="Dr. Singh"/>
        <s v="Dr. Iyer"/>
        <s v="Dr. Shah"/>
        <s v="Dr. Kulkarni"/>
      </sharedItems>
    </cacheField>
    <cacheField name="Admission Date" numFmtId="164">
      <sharedItems containsSemiMixedTypes="0" containsNonDate="0" containsDate="1" containsString="0" minDate="2026-03-01T00:00:00" maxDate="2026-04-20T00:00:00" count="5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sharedItems>
      <fieldGroup par="11" base="6">
        <rangePr groupBy="days" startDate="2026-03-01T00:00:00" endDate="2026-04-20T00:00:00"/>
        <groupItems count="368">
          <s v="&lt;3/1/2026"/>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4/20/2026"/>
        </groupItems>
      </fieldGroup>
    </cacheField>
    <cacheField name="Treatment Cost" numFmtId="165">
      <sharedItems containsSemiMixedTypes="0" containsString="0" containsNumber="1" containsInteger="1" minValue="5000" maxValue="34000"/>
    </cacheField>
    <cacheField name="Medicine Cost" numFmtId="165">
      <sharedItems containsSemiMixedTypes="0" containsString="0" containsNumber="1" containsInteger="1" minValue="1500" maxValue="9500"/>
    </cacheField>
    <cacheField name="Room Charges" numFmtId="166">
      <sharedItems containsSemiMixedTypes="0" containsString="0" containsNumber="1" containsInteger="1" minValue="3000" maxValue="10000"/>
    </cacheField>
    <cacheField name="Total Bill" numFmtId="165">
      <sharedItems containsSemiMixedTypes="0" containsString="0" containsNumber="1" containsInteger="1" minValue="9500" maxValue="53500" count="29">
        <n v="23000"/>
        <n v="9500"/>
        <n v="32000"/>
        <n v="19500"/>
        <n v="48000"/>
        <n v="14000"/>
        <n v="28000"/>
        <n v="12500"/>
        <n v="22000"/>
        <n v="16000"/>
        <n v="24500"/>
        <n v="20500"/>
        <n v="51000"/>
        <n v="10000"/>
        <n v="33000"/>
        <n v="13000"/>
        <n v="15000"/>
        <n v="29000"/>
        <n v="17000"/>
        <n v="23500"/>
        <n v="20000"/>
        <n v="49500"/>
        <n v="34000"/>
        <n v="14500"/>
        <n v="28500"/>
        <n v="22500"/>
        <n v="16500"/>
        <n v="52000"/>
        <n v="53500"/>
      </sharedItems>
    </cacheField>
    <cacheField name="Months" numFmtId="0" databaseField="0">
      <fieldGroup base="6">
        <rangePr groupBy="months" startDate="2026-03-01T00:00:00" endDate="2026-04-20T00:00:00"/>
        <groupItems count="14">
          <s v="&lt;3/1/2026"/>
          <s v="Jan"/>
          <s v="Feb"/>
          <s v="Mar"/>
          <s v="Apr"/>
          <s v="May"/>
          <s v="Jun"/>
          <s v="Jul"/>
          <s v="Aug"/>
          <s v="Sep"/>
          <s v="Oct"/>
          <s v="Nov"/>
          <s v="Dec"/>
          <s v="&gt;4/20/2026"/>
        </groupItems>
      </fieldGroup>
    </cacheField>
  </cacheFields>
  <extLst>
    <ext xmlns:x14="http://schemas.microsoft.com/office/spreadsheetml/2009/9/main" uri="{725AE2AE-9491-48be-B2B4-4EB974FC3084}">
      <x14:pivotCacheDefinition pivotCacheId="37944974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x v="0"/>
    <x v="0"/>
    <n v="45"/>
    <x v="0"/>
    <x v="0"/>
    <x v="0"/>
    <x v="0"/>
    <n v="15000"/>
    <n v="3000"/>
    <n v="5000"/>
    <x v="0"/>
  </r>
  <r>
    <x v="1"/>
    <x v="1"/>
    <n v="32"/>
    <x v="1"/>
    <x v="1"/>
    <x v="1"/>
    <x v="1"/>
    <n v="5000"/>
    <n v="1500"/>
    <n v="3000"/>
    <x v="1"/>
  </r>
  <r>
    <x v="2"/>
    <x v="2"/>
    <n v="28"/>
    <x v="0"/>
    <x v="2"/>
    <x v="2"/>
    <x v="2"/>
    <n v="20000"/>
    <n v="5000"/>
    <n v="7000"/>
    <x v="2"/>
  </r>
  <r>
    <x v="3"/>
    <x v="3"/>
    <n v="50"/>
    <x v="1"/>
    <x v="3"/>
    <x v="3"/>
    <x v="3"/>
    <n v="12000"/>
    <n v="2500"/>
    <n v="5000"/>
    <x v="3"/>
  </r>
  <r>
    <x v="4"/>
    <x v="4"/>
    <n v="60"/>
    <x v="0"/>
    <x v="4"/>
    <x v="4"/>
    <x v="4"/>
    <n v="30000"/>
    <n v="8000"/>
    <n v="10000"/>
    <x v="4"/>
  </r>
  <r>
    <x v="5"/>
    <x v="5"/>
    <n v="25"/>
    <x v="1"/>
    <x v="5"/>
    <x v="5"/>
    <x v="5"/>
    <n v="8000"/>
    <n v="2000"/>
    <n v="4000"/>
    <x v="5"/>
  </r>
  <r>
    <x v="6"/>
    <x v="6"/>
    <n v="40"/>
    <x v="0"/>
    <x v="6"/>
    <x v="0"/>
    <x v="6"/>
    <n v="18000"/>
    <n v="4000"/>
    <n v="6000"/>
    <x v="6"/>
  </r>
  <r>
    <x v="7"/>
    <x v="7"/>
    <n v="35"/>
    <x v="1"/>
    <x v="7"/>
    <x v="1"/>
    <x v="7"/>
    <n v="7000"/>
    <n v="1500"/>
    <n v="4000"/>
    <x v="7"/>
  </r>
  <r>
    <x v="8"/>
    <x v="8"/>
    <n v="55"/>
    <x v="0"/>
    <x v="8"/>
    <x v="2"/>
    <x v="8"/>
    <n v="14000"/>
    <n v="3000"/>
    <n v="5000"/>
    <x v="8"/>
  </r>
  <r>
    <x v="9"/>
    <x v="9"/>
    <n v="30"/>
    <x v="1"/>
    <x v="9"/>
    <x v="3"/>
    <x v="9"/>
    <n v="10000"/>
    <n v="2000"/>
    <n v="4000"/>
    <x v="9"/>
  </r>
  <r>
    <x v="10"/>
    <x v="10"/>
    <n v="48"/>
    <x v="0"/>
    <x v="0"/>
    <x v="4"/>
    <x v="10"/>
    <n v="16000"/>
    <n v="3500"/>
    <n v="5000"/>
    <x v="10"/>
  </r>
  <r>
    <x v="11"/>
    <x v="11"/>
    <n v="52"/>
    <x v="1"/>
    <x v="3"/>
    <x v="5"/>
    <x v="11"/>
    <n v="13000"/>
    <n v="2500"/>
    <n v="5000"/>
    <x v="11"/>
  </r>
  <r>
    <x v="12"/>
    <x v="12"/>
    <n v="65"/>
    <x v="0"/>
    <x v="4"/>
    <x v="0"/>
    <x v="12"/>
    <n v="32000"/>
    <n v="9000"/>
    <n v="10000"/>
    <x v="12"/>
  </r>
  <r>
    <x v="13"/>
    <x v="13"/>
    <n v="27"/>
    <x v="1"/>
    <x v="1"/>
    <x v="1"/>
    <x v="13"/>
    <n v="5500"/>
    <n v="1500"/>
    <n v="3000"/>
    <x v="13"/>
  </r>
  <r>
    <x v="14"/>
    <x v="14"/>
    <n v="38"/>
    <x v="0"/>
    <x v="2"/>
    <x v="2"/>
    <x v="14"/>
    <n v="21000"/>
    <n v="5000"/>
    <n v="7000"/>
    <x v="14"/>
  </r>
  <r>
    <x v="15"/>
    <x v="15"/>
    <n v="44"/>
    <x v="1"/>
    <x v="7"/>
    <x v="3"/>
    <x v="15"/>
    <n v="7500"/>
    <n v="1500"/>
    <n v="4000"/>
    <x v="15"/>
  </r>
  <r>
    <x v="16"/>
    <x v="16"/>
    <n v="59"/>
    <x v="0"/>
    <x v="5"/>
    <x v="4"/>
    <x v="16"/>
    <n v="9000"/>
    <n v="2000"/>
    <n v="4000"/>
    <x v="16"/>
  </r>
  <r>
    <x v="17"/>
    <x v="17"/>
    <n v="33"/>
    <x v="1"/>
    <x v="6"/>
    <x v="5"/>
    <x v="17"/>
    <n v="19000"/>
    <n v="4000"/>
    <n v="6000"/>
    <x v="17"/>
  </r>
  <r>
    <x v="18"/>
    <x v="18"/>
    <n v="47"/>
    <x v="0"/>
    <x v="8"/>
    <x v="0"/>
    <x v="18"/>
    <n v="15000"/>
    <n v="3000"/>
    <n v="5000"/>
    <x v="0"/>
  </r>
  <r>
    <x v="19"/>
    <x v="19"/>
    <n v="29"/>
    <x v="1"/>
    <x v="9"/>
    <x v="1"/>
    <x v="19"/>
    <n v="11000"/>
    <n v="2000"/>
    <n v="4000"/>
    <x v="18"/>
  </r>
  <r>
    <x v="20"/>
    <x v="20"/>
    <n v="36"/>
    <x v="0"/>
    <x v="0"/>
    <x v="2"/>
    <x v="20"/>
    <n v="15500"/>
    <n v="3000"/>
    <n v="5000"/>
    <x v="19"/>
  </r>
  <r>
    <x v="21"/>
    <x v="21"/>
    <n v="41"/>
    <x v="1"/>
    <x v="3"/>
    <x v="3"/>
    <x v="21"/>
    <n v="12500"/>
    <n v="2500"/>
    <n v="5000"/>
    <x v="20"/>
  </r>
  <r>
    <x v="22"/>
    <x v="22"/>
    <n v="62"/>
    <x v="0"/>
    <x v="4"/>
    <x v="4"/>
    <x v="22"/>
    <n v="31000"/>
    <n v="8500"/>
    <n v="10000"/>
    <x v="21"/>
  </r>
  <r>
    <x v="23"/>
    <x v="23"/>
    <n v="26"/>
    <x v="1"/>
    <x v="1"/>
    <x v="5"/>
    <x v="23"/>
    <n v="5000"/>
    <n v="1500"/>
    <n v="3000"/>
    <x v="1"/>
  </r>
  <r>
    <x v="24"/>
    <x v="24"/>
    <n v="39"/>
    <x v="0"/>
    <x v="2"/>
    <x v="0"/>
    <x v="24"/>
    <n v="22000"/>
    <n v="5000"/>
    <n v="7000"/>
    <x v="22"/>
  </r>
  <r>
    <x v="25"/>
    <x v="25"/>
    <n v="31"/>
    <x v="1"/>
    <x v="7"/>
    <x v="1"/>
    <x v="25"/>
    <n v="7000"/>
    <n v="1500"/>
    <n v="4000"/>
    <x v="7"/>
  </r>
  <r>
    <x v="26"/>
    <x v="26"/>
    <n v="58"/>
    <x v="0"/>
    <x v="5"/>
    <x v="2"/>
    <x v="26"/>
    <n v="8500"/>
    <n v="2000"/>
    <n v="4000"/>
    <x v="23"/>
  </r>
  <r>
    <x v="27"/>
    <x v="27"/>
    <n v="34"/>
    <x v="1"/>
    <x v="6"/>
    <x v="3"/>
    <x v="27"/>
    <n v="18500"/>
    <n v="4000"/>
    <n v="6000"/>
    <x v="24"/>
  </r>
  <r>
    <x v="28"/>
    <x v="28"/>
    <n v="46"/>
    <x v="0"/>
    <x v="8"/>
    <x v="4"/>
    <x v="28"/>
    <n v="14500"/>
    <n v="3000"/>
    <n v="5000"/>
    <x v="25"/>
  </r>
  <r>
    <x v="29"/>
    <x v="29"/>
    <n v="28"/>
    <x v="1"/>
    <x v="9"/>
    <x v="5"/>
    <x v="29"/>
    <n v="10500"/>
    <n v="2000"/>
    <n v="4000"/>
    <x v="26"/>
  </r>
  <r>
    <x v="30"/>
    <x v="30"/>
    <n v="49"/>
    <x v="0"/>
    <x v="0"/>
    <x v="0"/>
    <x v="30"/>
    <n v="16000"/>
    <n v="3500"/>
    <n v="5000"/>
    <x v="10"/>
  </r>
  <r>
    <x v="31"/>
    <x v="31"/>
    <n v="53"/>
    <x v="1"/>
    <x v="3"/>
    <x v="1"/>
    <x v="31"/>
    <n v="13000"/>
    <n v="2500"/>
    <n v="5000"/>
    <x v="11"/>
  </r>
  <r>
    <x v="32"/>
    <x v="32"/>
    <n v="64"/>
    <x v="0"/>
    <x v="4"/>
    <x v="2"/>
    <x v="32"/>
    <n v="33000"/>
    <n v="9000"/>
    <n v="10000"/>
    <x v="27"/>
  </r>
  <r>
    <x v="33"/>
    <x v="33"/>
    <n v="24"/>
    <x v="1"/>
    <x v="1"/>
    <x v="3"/>
    <x v="33"/>
    <n v="5500"/>
    <n v="1500"/>
    <n v="3000"/>
    <x v="13"/>
  </r>
  <r>
    <x v="34"/>
    <x v="34"/>
    <n v="37"/>
    <x v="0"/>
    <x v="2"/>
    <x v="4"/>
    <x v="34"/>
    <n v="20000"/>
    <n v="5000"/>
    <n v="7000"/>
    <x v="2"/>
  </r>
  <r>
    <x v="35"/>
    <x v="35"/>
    <n v="42"/>
    <x v="1"/>
    <x v="7"/>
    <x v="5"/>
    <x v="35"/>
    <n v="7500"/>
    <n v="1500"/>
    <n v="4000"/>
    <x v="15"/>
  </r>
  <r>
    <x v="36"/>
    <x v="36"/>
    <n v="57"/>
    <x v="0"/>
    <x v="5"/>
    <x v="0"/>
    <x v="36"/>
    <n v="9000"/>
    <n v="2000"/>
    <n v="4000"/>
    <x v="16"/>
  </r>
  <r>
    <x v="37"/>
    <x v="37"/>
    <n v="30"/>
    <x v="1"/>
    <x v="6"/>
    <x v="1"/>
    <x v="37"/>
    <n v="18000"/>
    <n v="4000"/>
    <n v="6000"/>
    <x v="6"/>
  </r>
  <r>
    <x v="38"/>
    <x v="38"/>
    <n v="51"/>
    <x v="0"/>
    <x v="8"/>
    <x v="2"/>
    <x v="38"/>
    <n v="15000"/>
    <n v="3000"/>
    <n v="5000"/>
    <x v="0"/>
  </r>
  <r>
    <x v="39"/>
    <x v="39"/>
    <n v="27"/>
    <x v="1"/>
    <x v="9"/>
    <x v="3"/>
    <x v="39"/>
    <n v="10000"/>
    <n v="2000"/>
    <n v="4000"/>
    <x v="9"/>
  </r>
  <r>
    <x v="40"/>
    <x v="40"/>
    <n v="43"/>
    <x v="0"/>
    <x v="0"/>
    <x v="4"/>
    <x v="40"/>
    <n v="15500"/>
    <n v="3000"/>
    <n v="5000"/>
    <x v="19"/>
  </r>
  <r>
    <x v="41"/>
    <x v="41"/>
    <n v="35"/>
    <x v="1"/>
    <x v="3"/>
    <x v="5"/>
    <x v="41"/>
    <n v="12500"/>
    <n v="2500"/>
    <n v="5000"/>
    <x v="20"/>
  </r>
  <r>
    <x v="42"/>
    <x v="42"/>
    <n v="66"/>
    <x v="0"/>
    <x v="4"/>
    <x v="0"/>
    <x v="42"/>
    <n v="34000"/>
    <n v="9500"/>
    <n v="10000"/>
    <x v="28"/>
  </r>
  <r>
    <x v="43"/>
    <x v="43"/>
    <n v="23"/>
    <x v="1"/>
    <x v="1"/>
    <x v="1"/>
    <x v="43"/>
    <n v="5000"/>
    <n v="1500"/>
    <n v="3000"/>
    <x v="1"/>
  </r>
  <r>
    <x v="44"/>
    <x v="44"/>
    <n v="38"/>
    <x v="0"/>
    <x v="2"/>
    <x v="2"/>
    <x v="44"/>
    <n v="21000"/>
    <n v="5000"/>
    <n v="7000"/>
    <x v="14"/>
  </r>
  <r>
    <x v="45"/>
    <x v="45"/>
    <n v="45"/>
    <x v="1"/>
    <x v="7"/>
    <x v="3"/>
    <x v="45"/>
    <n v="7000"/>
    <n v="1500"/>
    <n v="4000"/>
    <x v="7"/>
  </r>
  <r>
    <x v="46"/>
    <x v="46"/>
    <n v="56"/>
    <x v="0"/>
    <x v="5"/>
    <x v="4"/>
    <x v="46"/>
    <n v="8500"/>
    <n v="2000"/>
    <n v="4000"/>
    <x v="23"/>
  </r>
  <r>
    <x v="47"/>
    <x v="47"/>
    <n v="32"/>
    <x v="1"/>
    <x v="6"/>
    <x v="5"/>
    <x v="47"/>
    <n v="19000"/>
    <n v="4000"/>
    <n v="6000"/>
    <x v="17"/>
  </r>
  <r>
    <x v="48"/>
    <x v="48"/>
    <n v="50"/>
    <x v="0"/>
    <x v="8"/>
    <x v="0"/>
    <x v="48"/>
    <n v="14500"/>
    <n v="3000"/>
    <n v="5000"/>
    <x v="25"/>
  </r>
  <r>
    <x v="49"/>
    <x v="49"/>
    <n v="29"/>
    <x v="1"/>
    <x v="9"/>
    <x v="1"/>
    <x v="49"/>
    <n v="11000"/>
    <n v="2000"/>
    <n v="4000"/>
    <x v="1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A2DB76B-4D0B-49B9-9A52-505FF744FC5D}" name="PivotTable1"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8">
  <location ref="A3:B13" firstHeaderRow="1" firstDataRow="1" firstDataCol="1"/>
  <pivotFields count="12">
    <pivotField dataField="1"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items count="51">
        <item x="28"/>
        <item x="21"/>
        <item x="0"/>
        <item x="34"/>
        <item x="23"/>
        <item x="7"/>
        <item x="10"/>
        <item x="40"/>
        <item x="18"/>
        <item x="42"/>
        <item x="13"/>
        <item x="24"/>
        <item x="26"/>
        <item x="4"/>
        <item x="11"/>
        <item x="29"/>
        <item x="14"/>
        <item x="9"/>
        <item x="36"/>
        <item x="45"/>
        <item x="1"/>
        <item x="27"/>
        <item x="20"/>
        <item x="46"/>
        <item x="41"/>
        <item x="37"/>
        <item x="3"/>
        <item x="32"/>
        <item x="17"/>
        <item x="2"/>
        <item x="38"/>
        <item x="22"/>
        <item x="35"/>
        <item x="31"/>
        <item x="15"/>
        <item x="43"/>
        <item x="8"/>
        <item x="30"/>
        <item x="48"/>
        <item x="47"/>
        <item x="19"/>
        <item x="39"/>
        <item x="5"/>
        <item x="25"/>
        <item x="16"/>
        <item x="12"/>
        <item x="33"/>
        <item x="49"/>
        <item x="44"/>
        <item x="6"/>
        <item t="default"/>
      </items>
    </pivotField>
    <pivotField showAll="0"/>
    <pivotField showAll="0"/>
    <pivotField axis="axisRow" showAll="0">
      <items count="11">
        <item x="8"/>
        <item x="5"/>
        <item x="6"/>
        <item x="0"/>
        <item x="1"/>
        <item x="2"/>
        <item x="4"/>
        <item x="3"/>
        <item x="7"/>
        <item x="9"/>
        <item t="default"/>
      </items>
    </pivotField>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65" showAll="0"/>
    <pivotField numFmtId="165" showAll="0"/>
    <pivotField numFmtId="166" showAll="0"/>
    <pivotField numFmtId="165" showAll="0">
      <items count="30">
        <item h="1" x="1"/>
        <item h="1" x="13"/>
        <item h="1" x="7"/>
        <item h="1" x="15"/>
        <item h="1" x="5"/>
        <item h="1" x="23"/>
        <item h="1" x="16"/>
        <item h="1" x="9"/>
        <item h="1" x="26"/>
        <item x="18"/>
        <item h="1" x="3"/>
        <item h="1" x="20"/>
        <item h="1" x="11"/>
        <item h="1" x="8"/>
        <item h="1" x="25"/>
        <item h="1" x="0"/>
        <item h="1" x="19"/>
        <item h="1" x="10"/>
        <item h="1" x="6"/>
        <item h="1" x="24"/>
        <item h="1" x="17"/>
        <item h="1" x="2"/>
        <item h="1" x="14"/>
        <item h="1" x="22"/>
        <item h="1" x="4"/>
        <item h="1" x="21"/>
        <item h="1" x="12"/>
        <item h="1" x="27"/>
        <item h="1" x="28"/>
        <item t="default"/>
      </items>
    </pivotField>
    <pivotField showAll="0">
      <items count="15">
        <item x="0"/>
        <item x="1"/>
        <item x="2"/>
        <item x="3"/>
        <item x="4"/>
        <item x="5"/>
        <item x="6"/>
        <item x="7"/>
        <item x="8"/>
        <item x="9"/>
        <item x="10"/>
        <item x="11"/>
        <item x="12"/>
        <item x="13"/>
        <item t="default"/>
      </items>
    </pivotField>
  </pivotFields>
  <rowFields count="1">
    <field x="4"/>
  </rowFields>
  <rowItems count="10">
    <i>
      <x/>
    </i>
    <i>
      <x v="1"/>
    </i>
    <i>
      <x v="2"/>
    </i>
    <i>
      <x v="3"/>
    </i>
    <i>
      <x v="4"/>
    </i>
    <i>
      <x v="5"/>
    </i>
    <i>
      <x v="6"/>
    </i>
    <i>
      <x v="7"/>
    </i>
    <i>
      <x v="8"/>
    </i>
    <i>
      <x v="9"/>
    </i>
  </rowItems>
  <colItems count="1">
    <i/>
  </colItems>
  <dataFields count="1">
    <dataField name="Count of Patient ID" fld="0" subtotal="count" baseField="0" baseItem="0"/>
  </dataFields>
  <chartFormats count="6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1"/>
          </reference>
        </references>
      </pivotArea>
    </chartFormat>
    <chartFormat chart="0" format="2">
      <pivotArea type="data" outline="0" fieldPosition="0">
        <references count="2">
          <reference field="4294967294" count="1" selected="0">
            <x v="0"/>
          </reference>
          <reference field="4" count="1" selected="0">
            <x v="2"/>
          </reference>
        </references>
      </pivotArea>
    </chartFormat>
    <chartFormat chart="0" format="3">
      <pivotArea type="data" outline="0" fieldPosition="0">
        <references count="2">
          <reference field="4294967294" count="1" selected="0">
            <x v="0"/>
          </reference>
          <reference field="4" count="1" selected="0">
            <x v="3"/>
          </reference>
        </references>
      </pivotArea>
    </chartFormat>
    <chartFormat chart="0" format="4">
      <pivotArea type="data" outline="0" fieldPosition="0">
        <references count="2">
          <reference field="4294967294" count="1" selected="0">
            <x v="0"/>
          </reference>
          <reference field="4" count="1" selected="0">
            <x v="4"/>
          </reference>
        </references>
      </pivotArea>
    </chartFormat>
    <chartFormat chart="0" format="5">
      <pivotArea type="data" outline="0" fieldPosition="0">
        <references count="2">
          <reference field="4294967294" count="1" selected="0">
            <x v="0"/>
          </reference>
          <reference field="4" count="1" selected="0">
            <x v="5"/>
          </reference>
        </references>
      </pivotArea>
    </chartFormat>
    <chartFormat chart="0" format="6">
      <pivotArea type="data" outline="0" fieldPosition="0">
        <references count="2">
          <reference field="4294967294" count="1" selected="0">
            <x v="0"/>
          </reference>
          <reference field="4" count="1" selected="0">
            <x v="6"/>
          </reference>
        </references>
      </pivotArea>
    </chartFormat>
    <chartFormat chart="0" format="7">
      <pivotArea type="data" outline="0" fieldPosition="0">
        <references count="2">
          <reference field="4294967294" count="1" selected="0">
            <x v="0"/>
          </reference>
          <reference field="4" count="1" selected="0">
            <x v="7"/>
          </reference>
        </references>
      </pivotArea>
    </chartFormat>
    <chartFormat chart="0" format="8">
      <pivotArea type="data" outline="0" fieldPosition="0">
        <references count="2">
          <reference field="4294967294" count="1" selected="0">
            <x v="0"/>
          </reference>
          <reference field="4" count="1" selected="0">
            <x v="8"/>
          </reference>
        </references>
      </pivotArea>
    </chartFormat>
    <chartFormat chart="0" format="9">
      <pivotArea type="data" outline="0" fieldPosition="0">
        <references count="2">
          <reference field="4294967294" count="1" selected="0">
            <x v="0"/>
          </reference>
          <reference field="4" count="1" selected="0">
            <x v="9"/>
          </reference>
        </references>
      </pivotArea>
    </chartFormat>
    <chartFormat chart="0" format="10">
      <pivotArea type="data" outline="0" fieldPosition="0">
        <references count="2">
          <reference field="4294967294" count="1" selected="0">
            <x v="0"/>
          </reference>
          <reference field="4" count="1" selected="0">
            <x v="0"/>
          </reference>
        </references>
      </pivotArea>
    </chartFormat>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4" count="1" selected="0">
            <x v="0"/>
          </reference>
        </references>
      </pivotArea>
    </chartFormat>
    <chartFormat chart="2" format="3">
      <pivotArea type="data" outline="0" fieldPosition="0">
        <references count="2">
          <reference field="4294967294" count="1" selected="0">
            <x v="0"/>
          </reference>
          <reference field="4" count="1" selected="0">
            <x v="1"/>
          </reference>
        </references>
      </pivotArea>
    </chartFormat>
    <chartFormat chart="2" format="4">
      <pivotArea type="data" outline="0" fieldPosition="0">
        <references count="2">
          <reference field="4294967294" count="1" selected="0">
            <x v="0"/>
          </reference>
          <reference field="4" count="1" selected="0">
            <x v="2"/>
          </reference>
        </references>
      </pivotArea>
    </chartFormat>
    <chartFormat chart="2" format="5">
      <pivotArea type="data" outline="0" fieldPosition="0">
        <references count="2">
          <reference field="4294967294" count="1" selected="0">
            <x v="0"/>
          </reference>
          <reference field="4" count="1" selected="0">
            <x v="3"/>
          </reference>
        </references>
      </pivotArea>
    </chartFormat>
    <chartFormat chart="2" format="6">
      <pivotArea type="data" outline="0" fieldPosition="0">
        <references count="2">
          <reference field="4294967294" count="1" selected="0">
            <x v="0"/>
          </reference>
          <reference field="4" count="1" selected="0">
            <x v="4"/>
          </reference>
        </references>
      </pivotArea>
    </chartFormat>
    <chartFormat chart="2" format="7">
      <pivotArea type="data" outline="0" fieldPosition="0">
        <references count="2">
          <reference field="4294967294" count="1" selected="0">
            <x v="0"/>
          </reference>
          <reference field="4" count="1" selected="0">
            <x v="5"/>
          </reference>
        </references>
      </pivotArea>
    </chartFormat>
    <chartFormat chart="2" format="8">
      <pivotArea type="data" outline="0" fieldPosition="0">
        <references count="2">
          <reference field="4294967294" count="1" selected="0">
            <x v="0"/>
          </reference>
          <reference field="4" count="1" selected="0">
            <x v="6"/>
          </reference>
        </references>
      </pivotArea>
    </chartFormat>
    <chartFormat chart="2" format="9">
      <pivotArea type="data" outline="0" fieldPosition="0">
        <references count="2">
          <reference field="4294967294" count="1" selected="0">
            <x v="0"/>
          </reference>
          <reference field="4" count="1" selected="0">
            <x v="7"/>
          </reference>
        </references>
      </pivotArea>
    </chartFormat>
    <chartFormat chart="2" format="10">
      <pivotArea type="data" outline="0" fieldPosition="0">
        <references count="2">
          <reference field="4294967294" count="1" selected="0">
            <x v="0"/>
          </reference>
          <reference field="4" count="1" selected="0">
            <x v="8"/>
          </reference>
        </references>
      </pivotArea>
    </chartFormat>
    <chartFormat chart="2" format="11">
      <pivotArea type="data" outline="0" fieldPosition="0">
        <references count="2">
          <reference field="4294967294" count="1" selected="0">
            <x v="0"/>
          </reference>
          <reference field="4" count="1" selected="0">
            <x v="9"/>
          </reference>
        </references>
      </pivotArea>
    </chartFormat>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4" count="1" selected="0">
            <x v="0"/>
          </reference>
        </references>
      </pivotArea>
    </chartFormat>
    <chartFormat chart="3" format="14">
      <pivotArea type="data" outline="0" fieldPosition="0">
        <references count="2">
          <reference field="4294967294" count="1" selected="0">
            <x v="0"/>
          </reference>
          <reference field="4" count="1" selected="0">
            <x v="1"/>
          </reference>
        </references>
      </pivotArea>
    </chartFormat>
    <chartFormat chart="3" format="15">
      <pivotArea type="data" outline="0" fieldPosition="0">
        <references count="2">
          <reference field="4294967294" count="1" selected="0">
            <x v="0"/>
          </reference>
          <reference field="4" count="1" selected="0">
            <x v="2"/>
          </reference>
        </references>
      </pivotArea>
    </chartFormat>
    <chartFormat chart="3" format="16">
      <pivotArea type="data" outline="0" fieldPosition="0">
        <references count="2">
          <reference field="4294967294" count="1" selected="0">
            <x v="0"/>
          </reference>
          <reference field="4" count="1" selected="0">
            <x v="3"/>
          </reference>
        </references>
      </pivotArea>
    </chartFormat>
    <chartFormat chart="3" format="17">
      <pivotArea type="data" outline="0" fieldPosition="0">
        <references count="2">
          <reference field="4294967294" count="1" selected="0">
            <x v="0"/>
          </reference>
          <reference field="4" count="1" selected="0">
            <x v="4"/>
          </reference>
        </references>
      </pivotArea>
    </chartFormat>
    <chartFormat chart="3" format="18">
      <pivotArea type="data" outline="0" fieldPosition="0">
        <references count="2">
          <reference field="4294967294" count="1" selected="0">
            <x v="0"/>
          </reference>
          <reference field="4" count="1" selected="0">
            <x v="5"/>
          </reference>
        </references>
      </pivotArea>
    </chartFormat>
    <chartFormat chart="3" format="19">
      <pivotArea type="data" outline="0" fieldPosition="0">
        <references count="2">
          <reference field="4294967294" count="1" selected="0">
            <x v="0"/>
          </reference>
          <reference field="4" count="1" selected="0">
            <x v="6"/>
          </reference>
        </references>
      </pivotArea>
    </chartFormat>
    <chartFormat chart="3" format="20">
      <pivotArea type="data" outline="0" fieldPosition="0">
        <references count="2">
          <reference field="4294967294" count="1" selected="0">
            <x v="0"/>
          </reference>
          <reference field="4" count="1" selected="0">
            <x v="7"/>
          </reference>
        </references>
      </pivotArea>
    </chartFormat>
    <chartFormat chart="3" format="21">
      <pivotArea type="data" outline="0" fieldPosition="0">
        <references count="2">
          <reference field="4294967294" count="1" selected="0">
            <x v="0"/>
          </reference>
          <reference field="4" count="1" selected="0">
            <x v="8"/>
          </reference>
        </references>
      </pivotArea>
    </chartFormat>
    <chartFormat chart="3" format="22">
      <pivotArea type="data" outline="0" fieldPosition="0">
        <references count="2">
          <reference field="4294967294" count="1" selected="0">
            <x v="0"/>
          </reference>
          <reference field="4" count="1" selected="0">
            <x v="9"/>
          </reference>
        </references>
      </pivotArea>
    </chartFormat>
    <chartFormat chart="4" format="12" series="1">
      <pivotArea type="data" outline="0" fieldPosition="0">
        <references count="1">
          <reference field="4294967294" count="1" selected="0">
            <x v="0"/>
          </reference>
        </references>
      </pivotArea>
    </chartFormat>
    <chartFormat chart="4" format="13">
      <pivotArea type="data" outline="0" fieldPosition="0">
        <references count="2">
          <reference field="4294967294" count="1" selected="0">
            <x v="0"/>
          </reference>
          <reference field="4" count="1" selected="0">
            <x v="0"/>
          </reference>
        </references>
      </pivotArea>
    </chartFormat>
    <chartFormat chart="4" format="14">
      <pivotArea type="data" outline="0" fieldPosition="0">
        <references count="2">
          <reference field="4294967294" count="1" selected="0">
            <x v="0"/>
          </reference>
          <reference field="4" count="1" selected="0">
            <x v="1"/>
          </reference>
        </references>
      </pivotArea>
    </chartFormat>
    <chartFormat chart="4" format="15">
      <pivotArea type="data" outline="0" fieldPosition="0">
        <references count="2">
          <reference field="4294967294" count="1" selected="0">
            <x v="0"/>
          </reference>
          <reference field="4" count="1" selected="0">
            <x v="2"/>
          </reference>
        </references>
      </pivotArea>
    </chartFormat>
    <chartFormat chart="4" format="16">
      <pivotArea type="data" outline="0" fieldPosition="0">
        <references count="2">
          <reference field="4294967294" count="1" selected="0">
            <x v="0"/>
          </reference>
          <reference field="4" count="1" selected="0">
            <x v="3"/>
          </reference>
        </references>
      </pivotArea>
    </chartFormat>
    <chartFormat chart="4" format="17">
      <pivotArea type="data" outline="0" fieldPosition="0">
        <references count="2">
          <reference field="4294967294" count="1" selected="0">
            <x v="0"/>
          </reference>
          <reference field="4" count="1" selected="0">
            <x v="4"/>
          </reference>
        </references>
      </pivotArea>
    </chartFormat>
    <chartFormat chart="4" format="18">
      <pivotArea type="data" outline="0" fieldPosition="0">
        <references count="2">
          <reference field="4294967294" count="1" selected="0">
            <x v="0"/>
          </reference>
          <reference field="4" count="1" selected="0">
            <x v="5"/>
          </reference>
        </references>
      </pivotArea>
    </chartFormat>
    <chartFormat chart="4" format="19">
      <pivotArea type="data" outline="0" fieldPosition="0">
        <references count="2">
          <reference field="4294967294" count="1" selected="0">
            <x v="0"/>
          </reference>
          <reference field="4" count="1" selected="0">
            <x v="6"/>
          </reference>
        </references>
      </pivotArea>
    </chartFormat>
    <chartFormat chart="4" format="20">
      <pivotArea type="data" outline="0" fieldPosition="0">
        <references count="2">
          <reference field="4294967294" count="1" selected="0">
            <x v="0"/>
          </reference>
          <reference field="4" count="1" selected="0">
            <x v="7"/>
          </reference>
        </references>
      </pivotArea>
    </chartFormat>
    <chartFormat chart="4" format="21">
      <pivotArea type="data" outline="0" fieldPosition="0">
        <references count="2">
          <reference field="4294967294" count="1" selected="0">
            <x v="0"/>
          </reference>
          <reference field="4" count="1" selected="0">
            <x v="8"/>
          </reference>
        </references>
      </pivotArea>
    </chartFormat>
    <chartFormat chart="4" format="22">
      <pivotArea type="data" outline="0" fieldPosition="0">
        <references count="2">
          <reference field="4294967294" count="1" selected="0">
            <x v="0"/>
          </reference>
          <reference field="4" count="1" selected="0">
            <x v="9"/>
          </reference>
        </references>
      </pivotArea>
    </chartFormat>
    <chartFormat chart="1" format="1">
      <pivotArea type="data" outline="0" fieldPosition="0">
        <references count="2">
          <reference field="4294967294" count="1" selected="0">
            <x v="0"/>
          </reference>
          <reference field="4" count="1" selected="0">
            <x v="0"/>
          </reference>
        </references>
      </pivotArea>
    </chartFormat>
    <chartFormat chart="1" format="2">
      <pivotArea type="data" outline="0" fieldPosition="0">
        <references count="2">
          <reference field="4294967294" count="1" selected="0">
            <x v="0"/>
          </reference>
          <reference field="4" count="1" selected="0">
            <x v="1"/>
          </reference>
        </references>
      </pivotArea>
    </chartFormat>
    <chartFormat chart="1" format="3">
      <pivotArea type="data" outline="0" fieldPosition="0">
        <references count="2">
          <reference field="4294967294" count="1" selected="0">
            <x v="0"/>
          </reference>
          <reference field="4" count="1" selected="0">
            <x v="2"/>
          </reference>
        </references>
      </pivotArea>
    </chartFormat>
    <chartFormat chart="1" format="4">
      <pivotArea type="data" outline="0" fieldPosition="0">
        <references count="2">
          <reference field="4294967294" count="1" selected="0">
            <x v="0"/>
          </reference>
          <reference field="4" count="1" selected="0">
            <x v="3"/>
          </reference>
        </references>
      </pivotArea>
    </chartFormat>
    <chartFormat chart="1" format="5">
      <pivotArea type="data" outline="0" fieldPosition="0">
        <references count="2">
          <reference field="4294967294" count="1" selected="0">
            <x v="0"/>
          </reference>
          <reference field="4" count="1" selected="0">
            <x v="4"/>
          </reference>
        </references>
      </pivotArea>
    </chartFormat>
    <chartFormat chart="1" format="6">
      <pivotArea type="data" outline="0" fieldPosition="0">
        <references count="2">
          <reference field="4294967294" count="1" selected="0">
            <x v="0"/>
          </reference>
          <reference field="4" count="1" selected="0">
            <x v="5"/>
          </reference>
        </references>
      </pivotArea>
    </chartFormat>
    <chartFormat chart="1" format="7">
      <pivotArea type="data" outline="0" fieldPosition="0">
        <references count="2">
          <reference field="4294967294" count="1" selected="0">
            <x v="0"/>
          </reference>
          <reference field="4" count="1" selected="0">
            <x v="6"/>
          </reference>
        </references>
      </pivotArea>
    </chartFormat>
    <chartFormat chart="1" format="8">
      <pivotArea type="data" outline="0" fieldPosition="0">
        <references count="2">
          <reference field="4294967294" count="1" selected="0">
            <x v="0"/>
          </reference>
          <reference field="4" count="1" selected="0">
            <x v="7"/>
          </reference>
        </references>
      </pivotArea>
    </chartFormat>
    <chartFormat chart="1" format="9">
      <pivotArea type="data" outline="0" fieldPosition="0">
        <references count="2">
          <reference field="4294967294" count="1" selected="0">
            <x v="0"/>
          </reference>
          <reference field="4" count="1" selected="0">
            <x v="8"/>
          </reference>
        </references>
      </pivotArea>
    </chartFormat>
    <chartFormat chart="1" format="10">
      <pivotArea type="data" outline="0" fieldPosition="0">
        <references count="2">
          <reference field="4294967294" count="1" selected="0">
            <x v="0"/>
          </reference>
          <reference field="4" count="1" selected="0">
            <x v="9"/>
          </reference>
        </references>
      </pivotArea>
    </chartFormat>
    <chartFormat chart="7" format="22" series="1">
      <pivotArea type="data" outline="0" fieldPosition="0">
        <references count="1">
          <reference field="4294967294" count="1" selected="0">
            <x v="0"/>
          </reference>
        </references>
      </pivotArea>
    </chartFormat>
    <chartFormat chart="7" format="23">
      <pivotArea type="data" outline="0" fieldPosition="0">
        <references count="2">
          <reference field="4294967294" count="1" selected="0">
            <x v="0"/>
          </reference>
          <reference field="4" count="1" selected="0">
            <x v="0"/>
          </reference>
        </references>
      </pivotArea>
    </chartFormat>
    <chartFormat chart="7" format="24">
      <pivotArea type="data" outline="0" fieldPosition="0">
        <references count="2">
          <reference field="4294967294" count="1" selected="0">
            <x v="0"/>
          </reference>
          <reference field="4" count="1" selected="0">
            <x v="1"/>
          </reference>
        </references>
      </pivotArea>
    </chartFormat>
    <chartFormat chart="7" format="25">
      <pivotArea type="data" outline="0" fieldPosition="0">
        <references count="2">
          <reference field="4294967294" count="1" selected="0">
            <x v="0"/>
          </reference>
          <reference field="4" count="1" selected="0">
            <x v="2"/>
          </reference>
        </references>
      </pivotArea>
    </chartFormat>
    <chartFormat chart="7" format="26">
      <pivotArea type="data" outline="0" fieldPosition="0">
        <references count="2">
          <reference field="4294967294" count="1" selected="0">
            <x v="0"/>
          </reference>
          <reference field="4" count="1" selected="0">
            <x v="3"/>
          </reference>
        </references>
      </pivotArea>
    </chartFormat>
    <chartFormat chart="7" format="27">
      <pivotArea type="data" outline="0" fieldPosition="0">
        <references count="2">
          <reference field="4294967294" count="1" selected="0">
            <x v="0"/>
          </reference>
          <reference field="4" count="1" selected="0">
            <x v="4"/>
          </reference>
        </references>
      </pivotArea>
    </chartFormat>
    <chartFormat chart="7" format="28">
      <pivotArea type="data" outline="0" fieldPosition="0">
        <references count="2">
          <reference field="4294967294" count="1" selected="0">
            <x v="0"/>
          </reference>
          <reference field="4" count="1" selected="0">
            <x v="5"/>
          </reference>
        </references>
      </pivotArea>
    </chartFormat>
    <chartFormat chart="7" format="29">
      <pivotArea type="data" outline="0" fieldPosition="0">
        <references count="2">
          <reference field="4294967294" count="1" selected="0">
            <x v="0"/>
          </reference>
          <reference field="4" count="1" selected="0">
            <x v="6"/>
          </reference>
        </references>
      </pivotArea>
    </chartFormat>
    <chartFormat chart="7" format="30">
      <pivotArea type="data" outline="0" fieldPosition="0">
        <references count="2">
          <reference field="4294967294" count="1" selected="0">
            <x v="0"/>
          </reference>
          <reference field="4" count="1" selected="0">
            <x v="7"/>
          </reference>
        </references>
      </pivotArea>
    </chartFormat>
    <chartFormat chart="7" format="31">
      <pivotArea type="data" outline="0" fieldPosition="0">
        <references count="2">
          <reference field="4294967294" count="1" selected="0">
            <x v="0"/>
          </reference>
          <reference field="4" count="1" selected="0">
            <x v="8"/>
          </reference>
        </references>
      </pivotArea>
    </chartFormat>
    <chartFormat chart="7" format="32">
      <pivotArea type="data" outline="0" fieldPosition="0">
        <references count="2">
          <reference field="4294967294" count="1" selected="0">
            <x v="0"/>
          </reference>
          <reference field="4" count="1" selected="0">
            <x v="9"/>
          </reference>
        </references>
      </pivotArea>
    </chartFormat>
    <chartFormat chart="1" format="1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51CEFA8-8E62-40AE-B4A1-C721526FC8F5}" name="PivotTable1"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4">
  <location ref="A3:B9" firstHeaderRow="1" firstDataRow="1" firstDataCol="1"/>
  <pivotFields count="12">
    <pivotField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items count="51">
        <item x="28"/>
        <item x="21"/>
        <item x="0"/>
        <item x="34"/>
        <item x="23"/>
        <item x="7"/>
        <item x="10"/>
        <item x="40"/>
        <item x="18"/>
        <item x="42"/>
        <item x="13"/>
        <item x="24"/>
        <item x="26"/>
        <item x="4"/>
        <item x="11"/>
        <item x="29"/>
        <item x="14"/>
        <item x="9"/>
        <item x="36"/>
        <item x="45"/>
        <item x="1"/>
        <item x="27"/>
        <item x="20"/>
        <item x="46"/>
        <item x="41"/>
        <item x="37"/>
        <item x="3"/>
        <item x="32"/>
        <item x="17"/>
        <item x="2"/>
        <item x="38"/>
        <item x="22"/>
        <item x="35"/>
        <item x="31"/>
        <item x="15"/>
        <item x="43"/>
        <item x="8"/>
        <item x="30"/>
        <item x="48"/>
        <item x="47"/>
        <item x="19"/>
        <item x="39"/>
        <item x="5"/>
        <item x="25"/>
        <item x="16"/>
        <item x="12"/>
        <item x="33"/>
        <item x="49"/>
        <item x="44"/>
        <item x="6"/>
        <item t="default"/>
      </items>
    </pivotField>
    <pivotField showAll="0"/>
    <pivotField showAll="0"/>
    <pivotField showAll="0">
      <items count="11">
        <item x="8"/>
        <item x="5"/>
        <item x="6"/>
        <item x="0"/>
        <item x="1"/>
        <item x="2"/>
        <item x="4"/>
        <item x="3"/>
        <item x="7"/>
        <item x="9"/>
        <item t="default"/>
      </items>
    </pivotField>
    <pivotField axis="axisRow" showAll="0">
      <items count="7">
        <item x="3"/>
        <item x="5"/>
        <item x="0"/>
        <item x="1"/>
        <item x="4"/>
        <item x="2"/>
        <item t="default"/>
      </items>
    </pivotField>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65" showAll="0"/>
    <pivotField numFmtId="165" showAll="0"/>
    <pivotField numFmtId="166" showAll="0"/>
    <pivotField dataField="1" numFmtId="165" showAll="0">
      <items count="30">
        <item h="1" x="1"/>
        <item h="1" x="13"/>
        <item h="1" x="7"/>
        <item h="1" x="15"/>
        <item h="1" x="5"/>
        <item h="1" x="23"/>
        <item h="1" x="16"/>
        <item h="1" x="9"/>
        <item h="1" x="26"/>
        <item x="18"/>
        <item h="1" x="3"/>
        <item h="1" x="20"/>
        <item h="1" x="11"/>
        <item h="1" x="8"/>
        <item h="1" x="25"/>
        <item h="1" x="0"/>
        <item h="1" x="19"/>
        <item h="1" x="10"/>
        <item h="1" x="6"/>
        <item h="1" x="24"/>
        <item h="1" x="17"/>
        <item h="1" x="2"/>
        <item h="1" x="14"/>
        <item h="1" x="22"/>
        <item h="1" x="4"/>
        <item h="1" x="21"/>
        <item h="1" x="12"/>
        <item h="1" x="27"/>
        <item h="1" x="28"/>
        <item t="default"/>
      </items>
    </pivotField>
    <pivotField showAll="0">
      <items count="15">
        <item x="0"/>
        <item x="1"/>
        <item x="2"/>
        <item x="3"/>
        <item x="4"/>
        <item x="5"/>
        <item x="6"/>
        <item x="7"/>
        <item x="8"/>
        <item x="9"/>
        <item x="10"/>
        <item x="11"/>
        <item x="12"/>
        <item x="13"/>
        <item t="default"/>
      </items>
    </pivotField>
  </pivotFields>
  <rowFields count="1">
    <field x="5"/>
  </rowFields>
  <rowItems count="6">
    <i>
      <x/>
    </i>
    <i>
      <x v="1"/>
    </i>
    <i>
      <x v="2"/>
    </i>
    <i>
      <x v="3"/>
    </i>
    <i>
      <x v="4"/>
    </i>
    <i>
      <x v="5"/>
    </i>
  </rowItems>
  <colItems count="1">
    <i/>
  </colItems>
  <dataFields count="1">
    <dataField name="Sum of Total Bill" fld="10"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40A267C-D235-47E7-82F3-480409E76D03}"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6" firstHeaderRow="1" firstDataRow="1" firstDataCol="1"/>
  <pivotFields count="12">
    <pivotField dataField="1"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items count="51">
        <item x="28"/>
        <item x="21"/>
        <item x="0"/>
        <item x="34"/>
        <item x="23"/>
        <item x="7"/>
        <item x="10"/>
        <item x="40"/>
        <item x="18"/>
        <item x="42"/>
        <item x="13"/>
        <item x="24"/>
        <item x="26"/>
        <item x="4"/>
        <item x="11"/>
        <item x="29"/>
        <item x="14"/>
        <item x="9"/>
        <item x="36"/>
        <item x="45"/>
        <item x="1"/>
        <item x="27"/>
        <item x="20"/>
        <item x="46"/>
        <item x="41"/>
        <item x="37"/>
        <item x="3"/>
        <item x="32"/>
        <item x="17"/>
        <item x="2"/>
        <item x="38"/>
        <item x="22"/>
        <item x="35"/>
        <item x="31"/>
        <item x="15"/>
        <item x="43"/>
        <item x="8"/>
        <item x="30"/>
        <item x="48"/>
        <item x="47"/>
        <item x="19"/>
        <item x="39"/>
        <item x="5"/>
        <item x="25"/>
        <item x="16"/>
        <item x="12"/>
        <item x="33"/>
        <item x="49"/>
        <item x="44"/>
        <item x="6"/>
        <item t="default"/>
      </items>
    </pivotField>
    <pivotField showAll="0"/>
    <pivotField axis="axisRow" showAll="0">
      <items count="3">
        <item x="1"/>
        <item x="0"/>
        <item t="default"/>
      </items>
    </pivotField>
    <pivotField showAll="0">
      <items count="11">
        <item x="8"/>
        <item x="5"/>
        <item x="6"/>
        <item x="0"/>
        <item x="1"/>
        <item x="2"/>
        <item x="4"/>
        <item x="3"/>
        <item x="7"/>
        <item x="9"/>
        <item t="default"/>
      </items>
    </pivotField>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65" showAll="0"/>
    <pivotField numFmtId="165" showAll="0"/>
    <pivotField numFmtId="166" showAll="0"/>
    <pivotField numFmtId="165" showAll="0">
      <items count="30">
        <item h="1" x="1"/>
        <item h="1" x="13"/>
        <item h="1" x="7"/>
        <item h="1" x="15"/>
        <item h="1" x="5"/>
        <item h="1" x="23"/>
        <item h="1" x="16"/>
        <item h="1" x="9"/>
        <item h="1" x="26"/>
        <item x="18"/>
        <item h="1" x="3"/>
        <item h="1" x="20"/>
        <item h="1" x="11"/>
        <item h="1" x="8"/>
        <item h="1" x="25"/>
        <item h="1" x="0"/>
        <item h="1" x="19"/>
        <item h="1" x="10"/>
        <item h="1" x="6"/>
        <item h="1" x="24"/>
        <item h="1" x="17"/>
        <item h="1" x="2"/>
        <item h="1" x="14"/>
        <item h="1" x="22"/>
        <item h="1" x="4"/>
        <item h="1" x="21"/>
        <item h="1" x="12"/>
        <item h="1" x="27"/>
        <item h="1" x="28"/>
        <item t="default"/>
      </items>
    </pivotField>
    <pivotField showAll="0">
      <items count="15">
        <item x="0"/>
        <item x="1"/>
        <item x="2"/>
        <item x="3"/>
        <item x="4"/>
        <item x="5"/>
        <item x="6"/>
        <item x="7"/>
        <item x="8"/>
        <item x="9"/>
        <item x="10"/>
        <item x="11"/>
        <item x="12"/>
        <item x="13"/>
        <item t="default"/>
      </items>
    </pivotField>
  </pivotFields>
  <rowFields count="1">
    <field x="3"/>
  </rowFields>
  <rowItems count="3">
    <i>
      <x/>
    </i>
    <i>
      <x v="1"/>
    </i>
    <i t="grand">
      <x/>
    </i>
  </rowItems>
  <colItems count="1">
    <i/>
  </colItems>
  <dataFields count="1">
    <dataField name="Count of Patient ID"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C501345-AB46-467E-A866-828567BCDB0E}" name="PivotTable3"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7">
  <location ref="A3:B53" firstHeaderRow="1" firstDataRow="1" firstDataCol="1"/>
  <pivotFields count="12">
    <pivotField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items count="51">
        <item x="28"/>
        <item x="21"/>
        <item x="0"/>
        <item x="34"/>
        <item x="23"/>
        <item x="7"/>
        <item x="10"/>
        <item x="40"/>
        <item x="18"/>
        <item x="42"/>
        <item x="13"/>
        <item x="24"/>
        <item x="26"/>
        <item x="4"/>
        <item x="11"/>
        <item x="29"/>
        <item x="14"/>
        <item x="9"/>
        <item x="36"/>
        <item x="45"/>
        <item x="1"/>
        <item x="27"/>
        <item x="20"/>
        <item x="46"/>
        <item x="41"/>
        <item x="37"/>
        <item x="3"/>
        <item x="32"/>
        <item x="17"/>
        <item x="2"/>
        <item x="38"/>
        <item x="22"/>
        <item x="35"/>
        <item x="31"/>
        <item x="15"/>
        <item x="43"/>
        <item x="8"/>
        <item x="30"/>
        <item x="48"/>
        <item x="47"/>
        <item x="19"/>
        <item x="39"/>
        <item x="5"/>
        <item x="25"/>
        <item x="16"/>
        <item x="12"/>
        <item x="33"/>
        <item x="49"/>
        <item x="44"/>
        <item x="6"/>
        <item t="default"/>
      </items>
    </pivotField>
    <pivotField showAll="0"/>
    <pivotField showAll="0"/>
    <pivotField showAll="0">
      <items count="11">
        <item x="8"/>
        <item x="5"/>
        <item x="6"/>
        <item x="0"/>
        <item x="1"/>
        <item x="2"/>
        <item x="4"/>
        <item x="3"/>
        <item x="7"/>
        <item x="9"/>
        <item t="default"/>
      </items>
    </pivotField>
    <pivotField showAll="0"/>
    <pivotField axis="axisRow"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65" showAll="0"/>
    <pivotField numFmtId="165" showAll="0"/>
    <pivotField numFmtId="166" showAll="0"/>
    <pivotField dataField="1" numFmtId="165" showAll="0">
      <items count="30">
        <item h="1" x="1"/>
        <item h="1" x="13"/>
        <item h="1" x="7"/>
        <item h="1" x="15"/>
        <item h="1" x="5"/>
        <item h="1" x="23"/>
        <item h="1" x="16"/>
        <item h="1" x="9"/>
        <item h="1" x="26"/>
        <item x="18"/>
        <item h="1" x="3"/>
        <item h="1" x="20"/>
        <item h="1" x="11"/>
        <item h="1" x="8"/>
        <item h="1" x="25"/>
        <item h="1" x="0"/>
        <item h="1" x="19"/>
        <item h="1" x="10"/>
        <item h="1" x="6"/>
        <item h="1" x="24"/>
        <item h="1" x="17"/>
        <item h="1" x="2"/>
        <item h="1" x="14"/>
        <item h="1" x="22"/>
        <item h="1" x="4"/>
        <item h="1" x="21"/>
        <item h="1" x="12"/>
        <item h="1" x="27"/>
        <item h="1" x="28"/>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6"/>
  </rowFields>
  <rowItems count="50">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rowItems>
  <colItems count="1">
    <i/>
  </colItems>
  <dataFields count="1">
    <dataField name="Sum of Total Bill" fld="10"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103"/>
          </reference>
        </references>
      </pivotArea>
    </chartFormat>
    <chartFormat chart="0" format="2">
      <pivotArea type="data" outline="0" fieldPosition="0">
        <references count="2">
          <reference field="4294967294" count="1" selected="0">
            <x v="0"/>
          </reference>
          <reference field="6" count="1" selected="0">
            <x v="93"/>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6" count="1" selected="0">
            <x v="103"/>
          </reference>
        </references>
      </pivotArea>
    </chartFormat>
    <chartFormat chart="6" format="7">
      <pivotArea type="data" outline="0" fieldPosition="0">
        <references count="2">
          <reference field="4294967294" count="1" selected="0">
            <x v="0"/>
          </reference>
          <reference field="6" count="1" selected="0">
            <x v="10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tient_ID" xr10:uid="{2B1596A3-43B0-4717-BDB0-9D36330400CE}" sourceName="Patient ID">
  <pivotTables>
    <pivotTable tabId="7" name="PivotTable3"/>
    <pivotTable tabId="3" name="PivotTable1"/>
    <pivotTable tabId="5" name="PivotTable1"/>
    <pivotTable tabId="6" name="PivotTable2"/>
  </pivotTables>
  <data>
    <tabular pivotCacheId="379449744">
      <items count="50">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ease" xr10:uid="{9FE39F4A-E901-4B6F-928A-C82C7A0A945D}" sourceName="Disease">
  <pivotTables>
    <pivotTable tabId="7" name="PivotTable3"/>
    <pivotTable tabId="3" name="PivotTable1"/>
    <pivotTable tabId="5" name="PivotTable1"/>
    <pivotTable tabId="6" name="PivotTable2"/>
  </pivotTables>
  <data>
    <tabular pivotCacheId="379449744">
      <items count="10">
        <i x="8" s="1"/>
        <i x="5" s="1"/>
        <i x="6" s="1"/>
        <i x="0" s="1"/>
        <i x="1" s="1"/>
        <i x="2" s="1"/>
        <i x="4" s="1"/>
        <i x="3" s="1"/>
        <i x="7" s="1"/>
        <i x="9"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dmission_Date" xr10:uid="{DC2ABE61-1244-4ED1-A9F0-168292EFC545}" sourceName="Admission Date">
  <pivotTables>
    <pivotTable tabId="7" name="PivotTable3"/>
    <pivotTable tabId="3" name="PivotTable1"/>
    <pivotTable tabId="5" name="PivotTable1"/>
    <pivotTable tabId="6" name="PivotTable2"/>
  </pivotTables>
  <data>
    <tabular pivotCacheId="379449744">
      <items count="368">
        <i x="101" s="1"/>
        <i x="70" s="1"/>
        <i x="102" s="1"/>
        <i x="71" s="1"/>
        <i x="103" s="1"/>
        <i x="72" s="1"/>
        <i x="104" s="1"/>
        <i x="73" s="1"/>
        <i x="105" s="1"/>
        <i x="74" s="1"/>
        <i x="106" s="1"/>
        <i x="75" s="1"/>
        <i x="107" s="1"/>
        <i x="76" s="1"/>
        <i x="108" s="1"/>
        <i x="77" s="1"/>
        <i x="109" s="1"/>
        <i x="78" s="1"/>
        <i x="110" s="1"/>
        <i x="79" s="1"/>
        <i x="92" s="1"/>
        <i x="61" s="1"/>
        <i x="80" s="1"/>
        <i x="81" s="1"/>
        <i x="82" s="1"/>
        <i x="83" s="1"/>
        <i x="84" s="1"/>
        <i x="85" s="1"/>
        <i x="86" s="1"/>
        <i x="87" s="1"/>
        <i x="88" s="1"/>
        <i x="89" s="1"/>
        <i x="93" s="1"/>
        <i x="62" s="1"/>
        <i x="90" s="1"/>
        <i x="91" s="1"/>
        <i x="94" s="1"/>
        <i x="63" s="1"/>
        <i x="95" s="1"/>
        <i x="64" s="1"/>
        <i x="96" s="1"/>
        <i x="65" s="1"/>
        <i x="97" s="1"/>
        <i x="66" s="1"/>
        <i x="98" s="1"/>
        <i x="67" s="1"/>
        <i x="99" s="1"/>
        <i x="68" s="1"/>
        <i x="100" s="1"/>
        <i x="69" s="1"/>
        <i x="0" s="1" nd="1"/>
        <i x="367" s="1" nd="1"/>
        <i x="223" s="1" nd="1"/>
        <i x="345" s="1" nd="1"/>
        <i x="41" s="1" nd="1"/>
        <i x="10" s="1" nd="1"/>
        <i x="192" s="1" nd="1"/>
        <i x="162" s="1" nd="1"/>
        <i x="131" s="1" nd="1"/>
        <i x="315" s="1" nd="1"/>
        <i x="284" s="1" nd="1"/>
        <i x="254" s="1" nd="1"/>
        <i x="224" s="1" nd="1"/>
        <i x="346" s="1" nd="1"/>
        <i x="42" s="1" nd="1"/>
        <i x="11" s="1" nd="1"/>
        <i x="193" s="1" nd="1"/>
        <i x="163" s="1" nd="1"/>
        <i x="132" s="1" nd="1"/>
        <i x="316" s="1" nd="1"/>
        <i x="285" s="1" nd="1"/>
        <i x="255" s="1" nd="1"/>
        <i x="225" s="1" nd="1"/>
        <i x="347" s="1" nd="1"/>
        <i x="43" s="1" nd="1"/>
        <i x="12" s="1" nd="1"/>
        <i x="194" s="1" nd="1"/>
        <i x="164" s="1" nd="1"/>
        <i x="133" s="1" nd="1"/>
        <i x="317" s="1" nd="1"/>
        <i x="286" s="1" nd="1"/>
        <i x="256" s="1" nd="1"/>
        <i x="226" s="1" nd="1"/>
        <i x="348" s="1" nd="1"/>
        <i x="44" s="1" nd="1"/>
        <i x="13" s="1" nd="1"/>
        <i x="195" s="1" nd="1"/>
        <i x="165" s="1" nd="1"/>
        <i x="134" s="1" nd="1"/>
        <i x="318" s="1" nd="1"/>
        <i x="287" s="1" nd="1"/>
        <i x="257" s="1" nd="1"/>
        <i x="227" s="1" nd="1"/>
        <i x="349" s="1" nd="1"/>
        <i x="45" s="1" nd="1"/>
        <i x="14" s="1" nd="1"/>
        <i x="196" s="1" nd="1"/>
        <i x="166" s="1" nd="1"/>
        <i x="135" s="1" nd="1"/>
        <i x="319" s="1" nd="1"/>
        <i x="288" s="1" nd="1"/>
        <i x="258" s="1" nd="1"/>
        <i x="228" s="1" nd="1"/>
        <i x="350" s="1" nd="1"/>
        <i x="46" s="1" nd="1"/>
        <i x="15" s="1" nd="1"/>
        <i x="197" s="1" nd="1"/>
        <i x="167" s="1" nd="1"/>
        <i x="136" s="1" nd="1"/>
        <i x="320" s="1" nd="1"/>
        <i x="289" s="1" nd="1"/>
        <i x="259" s="1" nd="1"/>
        <i x="229" s="1" nd="1"/>
        <i x="351" s="1" nd="1"/>
        <i x="47" s="1" nd="1"/>
        <i x="16" s="1" nd="1"/>
        <i x="198" s="1" nd="1"/>
        <i x="168" s="1" nd="1"/>
        <i x="137" s="1" nd="1"/>
        <i x="321" s="1" nd="1"/>
        <i x="290" s="1" nd="1"/>
        <i x="260" s="1" nd="1"/>
        <i x="230" s="1" nd="1"/>
        <i x="352" s="1" nd="1"/>
        <i x="48" s="1" nd="1"/>
        <i x="17" s="1" nd="1"/>
        <i x="199" s="1" nd="1"/>
        <i x="169" s="1" nd="1"/>
        <i x="138" s="1" nd="1"/>
        <i x="322" s="1" nd="1"/>
        <i x="291" s="1" nd="1"/>
        <i x="261" s="1" nd="1"/>
        <i x="231" s="1" nd="1"/>
        <i x="353" s="1" nd="1"/>
        <i x="49" s="1" nd="1"/>
        <i x="18" s="1" nd="1"/>
        <i x="200" s="1" nd="1"/>
        <i x="170" s="1" nd="1"/>
        <i x="139" s="1" nd="1"/>
        <i x="323" s="1" nd="1"/>
        <i x="292" s="1" nd="1"/>
        <i x="262" s="1" nd="1"/>
        <i x="232" s="1" nd="1"/>
        <i x="354" s="1" nd="1"/>
        <i x="50" s="1" nd="1"/>
        <i x="19" s="1" nd="1"/>
        <i x="201" s="1" nd="1"/>
        <i x="171" s="1" nd="1"/>
        <i x="140" s="1" nd="1"/>
        <i x="324" s="1" nd="1"/>
        <i x="293" s="1" nd="1"/>
        <i x="263" s="1" nd="1"/>
        <i x="214" s="1" nd="1"/>
        <i x="336" s="1" nd="1"/>
        <i x="32" s="1" nd="1"/>
        <i x="1" s="1" nd="1"/>
        <i x="183" s="1" nd="1"/>
        <i x="153" s="1" nd="1"/>
        <i x="122" s="1" nd="1"/>
        <i x="306" s="1" nd="1"/>
        <i x="275" s="1" nd="1"/>
        <i x="245" s="1" nd="1"/>
        <i x="111" s="1" nd="1"/>
        <i x="233" s="1" nd="1"/>
        <i x="355" s="1" nd="1"/>
        <i x="51" s="1" nd="1"/>
        <i x="20" s="1" nd="1"/>
        <i x="202" s="1" nd="1"/>
        <i x="172" s="1" nd="1"/>
        <i x="141" s="1" nd="1"/>
        <i x="325" s="1" nd="1"/>
        <i x="294" s="1" nd="1"/>
        <i x="264" s="1" nd="1"/>
        <i x="112" s="1" nd="1"/>
        <i x="234" s="1" nd="1"/>
        <i x="356" s="1" nd="1"/>
        <i x="52" s="1" nd="1"/>
        <i x="21" s="1" nd="1"/>
        <i x="203" s="1" nd="1"/>
        <i x="173" s="1" nd="1"/>
        <i x="142" s="1" nd="1"/>
        <i x="326" s="1" nd="1"/>
        <i x="295" s="1" nd="1"/>
        <i x="265" s="1" nd="1"/>
        <i x="113" s="1" nd="1"/>
        <i x="235" s="1" nd="1"/>
        <i x="357" s="1" nd="1"/>
        <i x="53" s="1" nd="1"/>
        <i x="22" s="1" nd="1"/>
        <i x="204" s="1" nd="1"/>
        <i x="174" s="1" nd="1"/>
        <i x="143" s="1" nd="1"/>
        <i x="327" s="1" nd="1"/>
        <i x="296" s="1" nd="1"/>
        <i x="266" s="1" nd="1"/>
        <i x="114" s="1" nd="1"/>
        <i x="236" s="1" nd="1"/>
        <i x="358" s="1" nd="1"/>
        <i x="54" s="1" nd="1"/>
        <i x="23" s="1" nd="1"/>
        <i x="205" s="1" nd="1"/>
        <i x="175" s="1" nd="1"/>
        <i x="144" s="1" nd="1"/>
        <i x="328" s="1" nd="1"/>
        <i x="297" s="1" nd="1"/>
        <i x="267" s="1" nd="1"/>
        <i x="115" s="1" nd="1"/>
        <i x="237" s="1" nd="1"/>
        <i x="359" s="1" nd="1"/>
        <i x="55" s="1" nd="1"/>
        <i x="24" s="1" nd="1"/>
        <i x="206" s="1" nd="1"/>
        <i x="176" s="1" nd="1"/>
        <i x="145" s="1" nd="1"/>
        <i x="329" s="1" nd="1"/>
        <i x="298" s="1" nd="1"/>
        <i x="268" s="1" nd="1"/>
        <i x="116" s="1" nd="1"/>
        <i x="238" s="1" nd="1"/>
        <i x="360" s="1" nd="1"/>
        <i x="56" s="1" nd="1"/>
        <i x="25" s="1" nd="1"/>
        <i x="207" s="1" nd="1"/>
        <i x="177" s="1" nd="1"/>
        <i x="146" s="1" nd="1"/>
        <i x="330" s="1" nd="1"/>
        <i x="299" s="1" nd="1"/>
        <i x="269" s="1" nd="1"/>
        <i x="117" s="1" nd="1"/>
        <i x="239" s="1" nd="1"/>
        <i x="361" s="1" nd="1"/>
        <i x="57" s="1" nd="1"/>
        <i x="26" s="1" nd="1"/>
        <i x="208" s="1" nd="1"/>
        <i x="178" s="1" nd="1"/>
        <i x="147" s="1" nd="1"/>
        <i x="331" s="1" nd="1"/>
        <i x="300" s="1" nd="1"/>
        <i x="270" s="1" nd="1"/>
        <i x="118" s="1" nd="1"/>
        <i x="240" s="1" nd="1"/>
        <i x="362" s="1" nd="1"/>
        <i x="58" s="1" nd="1"/>
        <i x="27" s="1" nd="1"/>
        <i x="209" s="1" nd="1"/>
        <i x="179" s="1" nd="1"/>
        <i x="148" s="1" nd="1"/>
        <i x="332" s="1" nd="1"/>
        <i x="301" s="1" nd="1"/>
        <i x="271" s="1" nd="1"/>
        <i x="119" s="1" nd="1"/>
        <i x="241" s="1" nd="1"/>
        <i x="363" s="1" nd="1"/>
        <i x="59" s="1" nd="1"/>
        <i x="28" s="1" nd="1"/>
        <i x="210" s="1" nd="1"/>
        <i x="180" s="1" nd="1"/>
        <i x="149" s="1" nd="1"/>
        <i x="333" s="1" nd="1"/>
        <i x="302" s="1" nd="1"/>
        <i x="272" s="1" nd="1"/>
        <i x="120" s="1" nd="1"/>
        <i x="242" s="1" nd="1"/>
        <i x="364" s="1" nd="1"/>
        <i x="60" s="1" nd="1"/>
        <i x="29" s="1" nd="1"/>
        <i x="211" s="1" nd="1"/>
        <i x="181" s="1" nd="1"/>
        <i x="150" s="1" nd="1"/>
        <i x="334" s="1" nd="1"/>
        <i x="303" s="1" nd="1"/>
        <i x="273" s="1" nd="1"/>
        <i x="215" s="1" nd="1"/>
        <i x="337" s="1" nd="1"/>
        <i x="33" s="1" nd="1"/>
        <i x="2" s="1" nd="1"/>
        <i x="184" s="1" nd="1"/>
        <i x="154" s="1" nd="1"/>
        <i x="123" s="1" nd="1"/>
        <i x="307" s="1" nd="1"/>
        <i x="276" s="1" nd="1"/>
        <i x="246" s="1" nd="1"/>
        <i x="121" s="1" nd="1"/>
        <i x="243" s="1" nd="1"/>
        <i x="365" s="1" nd="1"/>
        <i x="30" s="1" nd="1"/>
        <i x="212" s="1" nd="1"/>
        <i x="182" s="1" nd="1"/>
        <i x="151" s="1" nd="1"/>
        <i x="335" s="1" nd="1"/>
        <i x="304" s="1" nd="1"/>
        <i x="274" s="1" nd="1"/>
        <i x="244" s="1" nd="1"/>
        <i x="366" s="1" nd="1"/>
        <i x="31" s="1" nd="1"/>
        <i x="213" s="1" nd="1"/>
        <i x="152" s="1" nd="1"/>
        <i x="305" s="1" nd="1"/>
        <i x="216" s="1" nd="1"/>
        <i x="338" s="1" nd="1"/>
        <i x="34" s="1" nd="1"/>
        <i x="3" s="1" nd="1"/>
        <i x="185" s="1" nd="1"/>
        <i x="155" s="1" nd="1"/>
        <i x="124" s="1" nd="1"/>
        <i x="308" s="1" nd="1"/>
        <i x="277" s="1" nd="1"/>
        <i x="247" s="1" nd="1"/>
        <i x="217" s="1" nd="1"/>
        <i x="339" s="1" nd="1"/>
        <i x="35" s="1" nd="1"/>
        <i x="4" s="1" nd="1"/>
        <i x="186" s="1" nd="1"/>
        <i x="156" s="1" nd="1"/>
        <i x="125" s="1" nd="1"/>
        <i x="309" s="1" nd="1"/>
        <i x="278" s="1" nd="1"/>
        <i x="248" s="1" nd="1"/>
        <i x="218" s="1" nd="1"/>
        <i x="340" s="1" nd="1"/>
        <i x="36" s="1" nd="1"/>
        <i x="5" s="1" nd="1"/>
        <i x="187" s="1" nd="1"/>
        <i x="157" s="1" nd="1"/>
        <i x="126" s="1" nd="1"/>
        <i x="310" s="1" nd="1"/>
        <i x="279" s="1" nd="1"/>
        <i x="249" s="1" nd="1"/>
        <i x="219" s="1" nd="1"/>
        <i x="341" s="1" nd="1"/>
        <i x="37" s="1" nd="1"/>
        <i x="6" s="1" nd="1"/>
        <i x="188" s="1" nd="1"/>
        <i x="158" s="1" nd="1"/>
        <i x="127" s="1" nd="1"/>
        <i x="311" s="1" nd="1"/>
        <i x="280" s="1" nd="1"/>
        <i x="250" s="1" nd="1"/>
        <i x="220" s="1" nd="1"/>
        <i x="342" s="1" nd="1"/>
        <i x="38" s="1" nd="1"/>
        <i x="7" s="1" nd="1"/>
        <i x="189" s="1" nd="1"/>
        <i x="159" s="1" nd="1"/>
        <i x="128" s="1" nd="1"/>
        <i x="312" s="1" nd="1"/>
        <i x="281" s="1" nd="1"/>
        <i x="251" s="1" nd="1"/>
        <i x="221" s="1" nd="1"/>
        <i x="343" s="1" nd="1"/>
        <i x="39" s="1" nd="1"/>
        <i x="8" s="1" nd="1"/>
        <i x="190" s="1" nd="1"/>
        <i x="160" s="1" nd="1"/>
        <i x="129" s="1" nd="1"/>
        <i x="313" s="1" nd="1"/>
        <i x="282" s="1" nd="1"/>
        <i x="252" s="1" nd="1"/>
        <i x="222" s="1" nd="1"/>
        <i x="344" s="1" nd="1"/>
        <i x="40" s="1" nd="1"/>
        <i x="9" s="1" nd="1"/>
        <i x="191" s="1" nd="1"/>
        <i x="161" s="1" nd="1"/>
        <i x="130" s="1" nd="1"/>
        <i x="314" s="1" nd="1"/>
        <i x="283" s="1" nd="1"/>
        <i x="25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 xr10:uid="{123364C5-7655-43F6-B85F-19C4BEFA2CD7}" sourceName="Name">
  <pivotTables>
    <pivotTable tabId="5" name="PivotTable1"/>
    <pivotTable tabId="3" name="PivotTable1"/>
    <pivotTable tabId="6" name="PivotTable2"/>
    <pivotTable tabId="7" name="PivotTable3"/>
  </pivotTables>
  <data>
    <tabular pivotCacheId="379449744">
      <items count="50">
        <i x="28" s="1"/>
        <i x="21" s="1"/>
        <i x="0" s="1"/>
        <i x="34" s="1"/>
        <i x="23" s="1"/>
        <i x="7" s="1"/>
        <i x="10" s="1"/>
        <i x="40" s="1"/>
        <i x="18" s="1"/>
        <i x="42" s="1"/>
        <i x="13" s="1"/>
        <i x="24" s="1"/>
        <i x="26" s="1"/>
        <i x="4" s="1"/>
        <i x="11" s="1"/>
        <i x="29" s="1"/>
        <i x="14" s="1"/>
        <i x="9" s="1"/>
        <i x="36" s="1"/>
        <i x="45" s="1"/>
        <i x="1" s="1"/>
        <i x="27" s="1"/>
        <i x="20" s="1"/>
        <i x="46" s="1"/>
        <i x="41" s="1"/>
        <i x="37" s="1"/>
        <i x="3" s="1"/>
        <i x="32" s="1"/>
        <i x="17" s="1"/>
        <i x="2" s="1"/>
        <i x="38" s="1"/>
        <i x="22" s="1"/>
        <i x="35" s="1"/>
        <i x="31" s="1"/>
        <i x="15" s="1"/>
        <i x="43" s="1"/>
        <i x="8" s="1"/>
        <i x="30" s="1"/>
        <i x="48" s="1"/>
        <i x="47" s="1"/>
        <i x="19" s="1"/>
        <i x="39" s="1"/>
        <i x="5" s="1"/>
        <i x="25" s="1"/>
        <i x="16" s="1"/>
        <i x="12" s="1"/>
        <i x="33" s="1"/>
        <i x="49" s="1"/>
        <i x="44"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tient ID" xr10:uid="{7A5DDBC6-1A90-41FC-9E11-A28D276FEA94}" cache="Slicer_Patient_ID" caption="Patient ID" rowHeight="241300"/>
  <slicer name="Disease" xr10:uid="{226C8A25-7540-4BE1-B395-65E7C2DADD84}" cache="Slicer_Disease" caption="Disease" rowHeight="241300"/>
  <slicer name="Admission Date" xr10:uid="{602426E3-A895-4327-AD68-EF21932BCD07}" cache="Slicer_Admission_Date" caption="Admission Date" startItem="44" rowHeight="241300"/>
  <slicer name="Name" xr10:uid="{67A1216B-BD6F-4FEC-BDD9-219E132E2C74}" cache="Slicer_Name" caption="Name" startItem="3"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7" Type="http://schemas.openxmlformats.org/officeDocument/2006/relationships/image" Target="../media/image2.emf"/><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ontrol" Target="../activeX/activeX2.xml"/><Relationship Id="rId5" Type="http://schemas.openxmlformats.org/officeDocument/2006/relationships/image" Target="../media/image1.emf"/><Relationship Id="rId4" Type="http://schemas.openxmlformats.org/officeDocument/2006/relationships/control" Target="../activeX/activeX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42A974-9994-4DD1-B4C1-5889C8CCF994}">
  <sheetPr codeName="Sheet1"/>
  <dimension ref="A1:X57"/>
  <sheetViews>
    <sheetView tabSelected="1" workbookViewId="0">
      <selection activeCell="M3" sqref="M3"/>
    </sheetView>
  </sheetViews>
  <sheetFormatPr defaultRowHeight="15" x14ac:dyDescent="0.25"/>
  <cols>
    <col min="1" max="1" width="10.7109375" bestFit="1" customWidth="1"/>
    <col min="2" max="2" width="15" bestFit="1" customWidth="1"/>
    <col min="3" max="3" width="4.7109375" bestFit="1" customWidth="1"/>
    <col min="4" max="4" width="8.140625" bestFit="1" customWidth="1"/>
    <col min="5" max="5" width="13.28515625" bestFit="1" customWidth="1"/>
    <col min="6" max="6" width="17" bestFit="1" customWidth="1"/>
    <col min="7" max="7" width="16.28515625" style="1" bestFit="1" customWidth="1"/>
    <col min="8" max="8" width="16.140625" style="1" bestFit="1" customWidth="1"/>
    <col min="9" max="9" width="14.85546875" bestFit="1" customWidth="1"/>
    <col min="10" max="10" width="15" bestFit="1" customWidth="1"/>
    <col min="11" max="11" width="10.7109375" bestFit="1" customWidth="1"/>
    <col min="12" max="12" width="10.5703125" bestFit="1" customWidth="1"/>
    <col min="13" max="14" width="10.7109375" bestFit="1" customWidth="1"/>
    <col min="15" max="15" width="15" bestFit="1" customWidth="1"/>
    <col min="16" max="16" width="4.7109375" bestFit="1" customWidth="1"/>
    <col min="17" max="17" width="8.140625" bestFit="1" customWidth="1"/>
    <col min="18" max="18" width="13.28515625" bestFit="1" customWidth="1"/>
    <col min="19" max="19" width="17" bestFit="1" customWidth="1"/>
    <col min="20" max="20" width="16.28515625" bestFit="1" customWidth="1"/>
    <col min="21" max="21" width="16.140625" bestFit="1" customWidth="1"/>
    <col min="22" max="22" width="14.85546875" bestFit="1" customWidth="1"/>
    <col min="23" max="23" width="15" bestFit="1" customWidth="1"/>
    <col min="24" max="24" width="9.5703125" bestFit="1" customWidth="1"/>
  </cols>
  <sheetData>
    <row r="1" spans="1:24" ht="18.75" x14ac:dyDescent="0.25">
      <c r="A1" s="13" t="s">
        <v>5</v>
      </c>
      <c r="B1" s="13" t="s">
        <v>6</v>
      </c>
      <c r="C1" s="13" t="s">
        <v>1</v>
      </c>
      <c r="D1" s="13" t="s">
        <v>0</v>
      </c>
      <c r="E1" s="13" t="s">
        <v>7</v>
      </c>
      <c r="F1" s="13" t="s">
        <v>8</v>
      </c>
      <c r="G1" s="13" t="s">
        <v>9</v>
      </c>
      <c r="H1" s="13" t="s">
        <v>126</v>
      </c>
      <c r="I1" s="13" t="s">
        <v>127</v>
      </c>
      <c r="J1" s="13" t="s">
        <v>128</v>
      </c>
      <c r="K1" s="13" t="s">
        <v>129</v>
      </c>
      <c r="N1" s="12" t="s">
        <v>184</v>
      </c>
      <c r="O1" s="12"/>
      <c r="P1" s="12"/>
      <c r="Q1" s="12"/>
      <c r="R1" s="12"/>
      <c r="S1" s="12"/>
      <c r="T1" s="12"/>
      <c r="U1" s="12"/>
      <c r="V1" s="12"/>
      <c r="W1" s="12"/>
      <c r="X1" s="12"/>
    </row>
    <row r="2" spans="1:24" x14ac:dyDescent="0.25">
      <c r="A2" s="5" t="s">
        <v>10</v>
      </c>
      <c r="B2" s="5" t="s">
        <v>11</v>
      </c>
      <c r="C2" s="5">
        <v>45</v>
      </c>
      <c r="D2" s="5" t="s">
        <v>2</v>
      </c>
      <c r="E2" s="5" t="s">
        <v>12</v>
      </c>
      <c r="F2" s="5" t="s">
        <v>13</v>
      </c>
      <c r="G2" s="6">
        <v>46082</v>
      </c>
      <c r="H2" s="7">
        <v>15000</v>
      </c>
      <c r="I2" s="7">
        <v>3000</v>
      </c>
      <c r="J2" s="8">
        <v>5000</v>
      </c>
      <c r="K2" s="7">
        <v>23000</v>
      </c>
    </row>
    <row r="3" spans="1:24" x14ac:dyDescent="0.25">
      <c r="A3" s="5" t="s">
        <v>14</v>
      </c>
      <c r="B3" s="5" t="s">
        <v>15</v>
      </c>
      <c r="C3" s="5">
        <v>32</v>
      </c>
      <c r="D3" s="5" t="s">
        <v>3</v>
      </c>
      <c r="E3" s="5" t="s">
        <v>16</v>
      </c>
      <c r="F3" s="5" t="s">
        <v>17</v>
      </c>
      <c r="G3" s="6">
        <v>46083</v>
      </c>
      <c r="H3" s="7">
        <v>5000</v>
      </c>
      <c r="I3" s="7">
        <v>1500</v>
      </c>
      <c r="J3" s="8">
        <v>3000</v>
      </c>
      <c r="K3" s="7">
        <v>9500</v>
      </c>
      <c r="N3" t="s">
        <v>185</v>
      </c>
    </row>
    <row r="4" spans="1:24" x14ac:dyDescent="0.25">
      <c r="A4" s="5" t="s">
        <v>18</v>
      </c>
      <c r="B4" s="5" t="s">
        <v>19</v>
      </c>
      <c r="C4" s="5">
        <v>28</v>
      </c>
      <c r="D4" s="5" t="s">
        <v>2</v>
      </c>
      <c r="E4" s="5" t="s">
        <v>20</v>
      </c>
      <c r="F4" s="5" t="s">
        <v>21</v>
      </c>
      <c r="G4" s="6">
        <v>46084</v>
      </c>
      <c r="H4" s="7">
        <v>20000</v>
      </c>
      <c r="I4" s="7">
        <v>5000</v>
      </c>
      <c r="J4" s="8">
        <v>7000</v>
      </c>
      <c r="K4" s="7">
        <v>32000</v>
      </c>
    </row>
    <row r="5" spans="1:24" x14ac:dyDescent="0.25">
      <c r="A5" s="5" t="s">
        <v>22</v>
      </c>
      <c r="B5" s="5" t="s">
        <v>23</v>
      </c>
      <c r="C5" s="5">
        <v>50</v>
      </c>
      <c r="D5" s="5" t="s">
        <v>3</v>
      </c>
      <c r="E5" s="5" t="s">
        <v>24</v>
      </c>
      <c r="F5" s="5" t="s">
        <v>25</v>
      </c>
      <c r="G5" s="6">
        <v>46085</v>
      </c>
      <c r="H5" s="7">
        <v>12000</v>
      </c>
      <c r="I5" s="7">
        <v>2500</v>
      </c>
      <c r="J5" s="8">
        <v>5000</v>
      </c>
      <c r="K5" s="7">
        <v>19500</v>
      </c>
    </row>
    <row r="6" spans="1:24" ht="15.75" x14ac:dyDescent="0.25">
      <c r="A6" s="5" t="s">
        <v>26</v>
      </c>
      <c r="B6" s="5" t="s">
        <v>27</v>
      </c>
      <c r="C6" s="5">
        <v>60</v>
      </c>
      <c r="D6" s="5" t="s">
        <v>2</v>
      </c>
      <c r="E6" s="5" t="s">
        <v>28</v>
      </c>
      <c r="F6" s="5" t="s">
        <v>29</v>
      </c>
      <c r="G6" s="6">
        <v>46086</v>
      </c>
      <c r="H6" s="7">
        <v>30000</v>
      </c>
      <c r="I6" s="7">
        <v>8000</v>
      </c>
      <c r="J6" s="8">
        <v>10000</v>
      </c>
      <c r="K6" s="7">
        <v>48000</v>
      </c>
      <c r="N6" s="11" t="s">
        <v>5</v>
      </c>
      <c r="O6" s="11" t="s">
        <v>6</v>
      </c>
      <c r="P6" s="11" t="s">
        <v>1</v>
      </c>
      <c r="Q6" s="11" t="s">
        <v>0</v>
      </c>
      <c r="R6" s="11" t="s">
        <v>7</v>
      </c>
      <c r="S6" s="11" t="s">
        <v>8</v>
      </c>
      <c r="T6" s="11" t="s">
        <v>9</v>
      </c>
      <c r="U6" s="11" t="s">
        <v>126</v>
      </c>
      <c r="V6" s="11" t="s">
        <v>127</v>
      </c>
      <c r="W6" s="11" t="s">
        <v>128</v>
      </c>
      <c r="X6" s="11" t="s">
        <v>129</v>
      </c>
    </row>
    <row r="7" spans="1:24" x14ac:dyDescent="0.25">
      <c r="A7" s="5" t="s">
        <v>30</v>
      </c>
      <c r="B7" s="5" t="s">
        <v>31</v>
      </c>
      <c r="C7" s="5">
        <v>25</v>
      </c>
      <c r="D7" s="5" t="s">
        <v>3</v>
      </c>
      <c r="E7" s="5" t="s">
        <v>32</v>
      </c>
      <c r="F7" s="5" t="s">
        <v>33</v>
      </c>
      <c r="G7" s="6">
        <v>46087</v>
      </c>
      <c r="H7" s="7">
        <v>8000</v>
      </c>
      <c r="I7" s="7">
        <v>2000</v>
      </c>
      <c r="J7" s="8">
        <v>4000</v>
      </c>
      <c r="K7" s="7">
        <v>14000</v>
      </c>
      <c r="N7" t="str" cm="1">
        <f t="array" ref="N7:X57">_xlfn._xlws.FILTER(A1:K51,LEFT(B1:B51,LEN(N3))=N3,"None")</f>
        <v>Patient ID</v>
      </c>
      <c r="O7" t="str">
        <v>Name</v>
      </c>
      <c r="P7" t="str">
        <v>Age</v>
      </c>
      <c r="Q7" t="str">
        <v>Gender</v>
      </c>
      <c r="R7" t="str">
        <v>Disease</v>
      </c>
      <c r="S7" t="str">
        <v>Doctor Assigned</v>
      </c>
      <c r="T7" t="str">
        <v>Admission Date</v>
      </c>
      <c r="U7" t="str">
        <v>Treatment Cost</v>
      </c>
      <c r="V7" t="str">
        <v>Medicine Cost</v>
      </c>
      <c r="W7" t="str">
        <v>Room Charges</v>
      </c>
      <c r="X7" t="str">
        <v>Total Bill</v>
      </c>
    </row>
    <row r="8" spans="1:24" x14ac:dyDescent="0.25">
      <c r="A8" s="5" t="s">
        <v>34</v>
      </c>
      <c r="B8" s="5" t="s">
        <v>35</v>
      </c>
      <c r="C8" s="5">
        <v>40</v>
      </c>
      <c r="D8" s="5" t="s">
        <v>2</v>
      </c>
      <c r="E8" s="5" t="s">
        <v>36</v>
      </c>
      <c r="F8" s="5" t="s">
        <v>13</v>
      </c>
      <c r="G8" s="6">
        <v>46088</v>
      </c>
      <c r="H8" s="7">
        <v>18000</v>
      </c>
      <c r="I8" s="7">
        <v>4000</v>
      </c>
      <c r="J8" s="8">
        <v>6000</v>
      </c>
      <c r="K8" s="7">
        <v>28000</v>
      </c>
      <c r="N8" t="str">
        <v>P001</v>
      </c>
      <c r="O8" t="str">
        <v>Amit Sharma</v>
      </c>
      <c r="P8">
        <v>45</v>
      </c>
      <c r="Q8" t="str">
        <v>Male</v>
      </c>
      <c r="R8" t="str">
        <v>Diabetes</v>
      </c>
      <c r="S8" t="str">
        <v>Dr. Mehta</v>
      </c>
      <c r="T8">
        <v>46082</v>
      </c>
      <c r="U8">
        <v>15000</v>
      </c>
      <c r="V8">
        <v>3000</v>
      </c>
      <c r="W8">
        <v>5000</v>
      </c>
      <c r="X8">
        <v>23000</v>
      </c>
    </row>
    <row r="9" spans="1:24" x14ac:dyDescent="0.25">
      <c r="A9" s="5" t="s">
        <v>37</v>
      </c>
      <c r="B9" s="5" t="s">
        <v>38</v>
      </c>
      <c r="C9" s="5">
        <v>35</v>
      </c>
      <c r="D9" s="5" t="s">
        <v>3</v>
      </c>
      <c r="E9" s="5" t="s">
        <v>39</v>
      </c>
      <c r="F9" s="5" t="s">
        <v>17</v>
      </c>
      <c r="G9" s="6">
        <v>46089</v>
      </c>
      <c r="H9" s="7">
        <v>7000</v>
      </c>
      <c r="I9" s="7">
        <v>1500</v>
      </c>
      <c r="J9" s="8">
        <v>4000</v>
      </c>
      <c r="K9" s="7">
        <v>12500</v>
      </c>
      <c r="N9" t="str">
        <v>P002</v>
      </c>
      <c r="O9" t="str">
        <v>Neha Patel</v>
      </c>
      <c r="P9">
        <v>32</v>
      </c>
      <c r="Q9" t="str">
        <v>Female</v>
      </c>
      <c r="R9" t="str">
        <v>Flu</v>
      </c>
      <c r="S9" t="str">
        <v>Dr. Rao</v>
      </c>
      <c r="T9">
        <v>46083</v>
      </c>
      <c r="U9">
        <v>5000</v>
      </c>
      <c r="V9">
        <v>1500</v>
      </c>
      <c r="W9">
        <v>3000</v>
      </c>
      <c r="X9">
        <v>9500</v>
      </c>
    </row>
    <row r="10" spans="1:24" x14ac:dyDescent="0.25">
      <c r="A10" s="5" t="s">
        <v>40</v>
      </c>
      <c r="B10" s="5" t="s">
        <v>41</v>
      </c>
      <c r="C10" s="5">
        <v>55</v>
      </c>
      <c r="D10" s="5" t="s">
        <v>2</v>
      </c>
      <c r="E10" s="5" t="s">
        <v>42</v>
      </c>
      <c r="F10" s="5" t="s">
        <v>21</v>
      </c>
      <c r="G10" s="6">
        <v>46090</v>
      </c>
      <c r="H10" s="7">
        <v>14000</v>
      </c>
      <c r="I10" s="7">
        <v>3000</v>
      </c>
      <c r="J10" s="8">
        <v>5000</v>
      </c>
      <c r="K10" s="7">
        <v>22000</v>
      </c>
      <c r="N10" t="str">
        <v>P003</v>
      </c>
      <c r="O10" t="str">
        <v>Rahul Verma</v>
      </c>
      <c r="P10">
        <v>28</v>
      </c>
      <c r="Q10" t="str">
        <v>Male</v>
      </c>
      <c r="R10" t="str">
        <v>Fracture</v>
      </c>
      <c r="S10" t="str">
        <v>Dr. Singh</v>
      </c>
      <c r="T10">
        <v>46084</v>
      </c>
      <c r="U10">
        <v>20000</v>
      </c>
      <c r="V10">
        <v>5000</v>
      </c>
      <c r="W10">
        <v>7000</v>
      </c>
      <c r="X10">
        <v>32000</v>
      </c>
    </row>
    <row r="11" spans="1:24" x14ac:dyDescent="0.25">
      <c r="A11" s="5" t="s">
        <v>43</v>
      </c>
      <c r="B11" s="5" t="s">
        <v>44</v>
      </c>
      <c r="C11" s="5">
        <v>30</v>
      </c>
      <c r="D11" s="5" t="s">
        <v>3</v>
      </c>
      <c r="E11" s="5" t="s">
        <v>45</v>
      </c>
      <c r="F11" s="5" t="s">
        <v>25</v>
      </c>
      <c r="G11" s="6">
        <v>46091</v>
      </c>
      <c r="H11" s="7">
        <v>10000</v>
      </c>
      <c r="I11" s="7">
        <v>2000</v>
      </c>
      <c r="J11" s="8">
        <v>4000</v>
      </c>
      <c r="K11" s="7">
        <v>16000</v>
      </c>
      <c r="N11" t="str">
        <v>P004</v>
      </c>
      <c r="O11" t="str">
        <v>Pooja Nair</v>
      </c>
      <c r="P11">
        <v>50</v>
      </c>
      <c r="Q11" t="str">
        <v>Female</v>
      </c>
      <c r="R11" t="str">
        <v>Hypertension</v>
      </c>
      <c r="S11" t="str">
        <v>Dr. Iyer</v>
      </c>
      <c r="T11">
        <v>46085</v>
      </c>
      <c r="U11">
        <v>12000</v>
      </c>
      <c r="V11">
        <v>2500</v>
      </c>
      <c r="W11">
        <v>5000</v>
      </c>
      <c r="X11">
        <v>19500</v>
      </c>
    </row>
    <row r="12" spans="1:24" x14ac:dyDescent="0.25">
      <c r="A12" s="5" t="s">
        <v>46</v>
      </c>
      <c r="B12" s="5" t="s">
        <v>47</v>
      </c>
      <c r="C12" s="5">
        <v>48</v>
      </c>
      <c r="D12" s="5" t="s">
        <v>2</v>
      </c>
      <c r="E12" s="5" t="s">
        <v>12</v>
      </c>
      <c r="F12" s="5" t="s">
        <v>29</v>
      </c>
      <c r="G12" s="6">
        <v>46092</v>
      </c>
      <c r="H12" s="7">
        <v>16000</v>
      </c>
      <c r="I12" s="7">
        <v>3500</v>
      </c>
      <c r="J12" s="8">
        <v>5000</v>
      </c>
      <c r="K12" s="7">
        <v>24500</v>
      </c>
      <c r="N12" t="str">
        <v>P005</v>
      </c>
      <c r="O12" t="str">
        <v>Karan Gupta</v>
      </c>
      <c r="P12">
        <v>60</v>
      </c>
      <c r="Q12" t="str">
        <v>Male</v>
      </c>
      <c r="R12" t="str">
        <v>Heart Disease</v>
      </c>
      <c r="S12" t="str">
        <v>Dr. Shah</v>
      </c>
      <c r="T12">
        <v>46086</v>
      </c>
      <c r="U12">
        <v>30000</v>
      </c>
      <c r="V12">
        <v>8000</v>
      </c>
      <c r="W12">
        <v>10000</v>
      </c>
      <c r="X12">
        <v>48000</v>
      </c>
    </row>
    <row r="13" spans="1:24" x14ac:dyDescent="0.25">
      <c r="A13" s="5" t="s">
        <v>48</v>
      </c>
      <c r="B13" s="5" t="s">
        <v>49</v>
      </c>
      <c r="C13" s="5">
        <v>52</v>
      </c>
      <c r="D13" s="5" t="s">
        <v>3</v>
      </c>
      <c r="E13" s="5" t="s">
        <v>24</v>
      </c>
      <c r="F13" s="5" t="s">
        <v>33</v>
      </c>
      <c r="G13" s="6">
        <v>46093</v>
      </c>
      <c r="H13" s="7">
        <v>13000</v>
      </c>
      <c r="I13" s="7">
        <v>2500</v>
      </c>
      <c r="J13" s="8">
        <v>5000</v>
      </c>
      <c r="K13" s="7">
        <v>20500</v>
      </c>
      <c r="N13" t="str">
        <v>P006</v>
      </c>
      <c r="O13" t="str">
        <v>Sneha Joshi</v>
      </c>
      <c r="P13">
        <v>25</v>
      </c>
      <c r="Q13" t="str">
        <v>Female</v>
      </c>
      <c r="R13" t="str">
        <v>Asthma</v>
      </c>
      <c r="S13" t="str">
        <v>Dr. Kulkarni</v>
      </c>
      <c r="T13">
        <v>46087</v>
      </c>
      <c r="U13">
        <v>8000</v>
      </c>
      <c r="V13">
        <v>2000</v>
      </c>
      <c r="W13">
        <v>4000</v>
      </c>
      <c r="X13">
        <v>14000</v>
      </c>
    </row>
    <row r="14" spans="1:24" x14ac:dyDescent="0.25">
      <c r="A14" s="5" t="s">
        <v>50</v>
      </c>
      <c r="B14" s="5" t="s">
        <v>51</v>
      </c>
      <c r="C14" s="5">
        <v>65</v>
      </c>
      <c r="D14" s="5" t="s">
        <v>2</v>
      </c>
      <c r="E14" s="5" t="s">
        <v>28</v>
      </c>
      <c r="F14" s="5" t="s">
        <v>13</v>
      </c>
      <c r="G14" s="6">
        <v>46094</v>
      </c>
      <c r="H14" s="7">
        <v>32000</v>
      </c>
      <c r="I14" s="7">
        <v>9000</v>
      </c>
      <c r="J14" s="8">
        <v>10000</v>
      </c>
      <c r="K14" s="7">
        <v>51000</v>
      </c>
      <c r="N14" t="str">
        <v>P007</v>
      </c>
      <c r="O14" t="str">
        <v>Vikram Desai</v>
      </c>
      <c r="P14">
        <v>40</v>
      </c>
      <c r="Q14" t="str">
        <v>Male</v>
      </c>
      <c r="R14" t="str">
        <v>Covid-19</v>
      </c>
      <c r="S14" t="str">
        <v>Dr. Mehta</v>
      </c>
      <c r="T14">
        <v>46088</v>
      </c>
      <c r="U14">
        <v>18000</v>
      </c>
      <c r="V14">
        <v>4000</v>
      </c>
      <c r="W14">
        <v>6000</v>
      </c>
      <c r="X14">
        <v>28000</v>
      </c>
    </row>
    <row r="15" spans="1:24" x14ac:dyDescent="0.25">
      <c r="A15" s="5" t="s">
        <v>52</v>
      </c>
      <c r="B15" s="5" t="s">
        <v>53</v>
      </c>
      <c r="C15" s="5">
        <v>27</v>
      </c>
      <c r="D15" s="5" t="s">
        <v>3</v>
      </c>
      <c r="E15" s="5" t="s">
        <v>16</v>
      </c>
      <c r="F15" s="5" t="s">
        <v>17</v>
      </c>
      <c r="G15" s="6">
        <v>46095</v>
      </c>
      <c r="H15" s="7">
        <v>5500</v>
      </c>
      <c r="I15" s="7">
        <v>1500</v>
      </c>
      <c r="J15" s="8">
        <v>3000</v>
      </c>
      <c r="K15" s="7">
        <v>10000</v>
      </c>
      <c r="N15" t="str">
        <v>P008</v>
      </c>
      <c r="O15" t="str">
        <v>Anjali Kapoor</v>
      </c>
      <c r="P15">
        <v>35</v>
      </c>
      <c r="Q15" t="str">
        <v>Female</v>
      </c>
      <c r="R15" t="str">
        <v>Migraine</v>
      </c>
      <c r="S15" t="str">
        <v>Dr. Rao</v>
      </c>
      <c r="T15">
        <v>46089</v>
      </c>
      <c r="U15">
        <v>7000</v>
      </c>
      <c r="V15">
        <v>1500</v>
      </c>
      <c r="W15">
        <v>4000</v>
      </c>
      <c r="X15">
        <v>12500</v>
      </c>
    </row>
    <row r="16" spans="1:24" x14ac:dyDescent="0.25">
      <c r="A16" s="5" t="s">
        <v>54</v>
      </c>
      <c r="B16" s="5" t="s">
        <v>55</v>
      </c>
      <c r="C16" s="5">
        <v>38</v>
      </c>
      <c r="D16" s="5" t="s">
        <v>2</v>
      </c>
      <c r="E16" s="5" t="s">
        <v>20</v>
      </c>
      <c r="F16" s="5" t="s">
        <v>21</v>
      </c>
      <c r="G16" s="6">
        <v>46096</v>
      </c>
      <c r="H16" s="7">
        <v>21000</v>
      </c>
      <c r="I16" s="7">
        <v>5000</v>
      </c>
      <c r="J16" s="8">
        <v>7000</v>
      </c>
      <c r="K16" s="7">
        <v>33000</v>
      </c>
      <c r="N16" t="str">
        <v>P009</v>
      </c>
      <c r="O16" t="str">
        <v>Rohan Das</v>
      </c>
      <c r="P16">
        <v>55</v>
      </c>
      <c r="Q16" t="str">
        <v>Male</v>
      </c>
      <c r="R16" t="str">
        <v>Arthritis</v>
      </c>
      <c r="S16" t="str">
        <v>Dr. Singh</v>
      </c>
      <c r="T16">
        <v>46090</v>
      </c>
      <c r="U16">
        <v>14000</v>
      </c>
      <c r="V16">
        <v>3000</v>
      </c>
      <c r="W16">
        <v>5000</v>
      </c>
      <c r="X16">
        <v>22000</v>
      </c>
    </row>
    <row r="17" spans="1:24" x14ac:dyDescent="0.25">
      <c r="A17" s="5" t="s">
        <v>56</v>
      </c>
      <c r="B17" s="5" t="s">
        <v>57</v>
      </c>
      <c r="C17" s="5">
        <v>44</v>
      </c>
      <c r="D17" s="5" t="s">
        <v>3</v>
      </c>
      <c r="E17" s="5" t="s">
        <v>39</v>
      </c>
      <c r="F17" s="5" t="s">
        <v>25</v>
      </c>
      <c r="G17" s="6">
        <v>46097</v>
      </c>
      <c r="H17" s="7">
        <v>7500</v>
      </c>
      <c r="I17" s="7">
        <v>1500</v>
      </c>
      <c r="J17" s="8">
        <v>4000</v>
      </c>
      <c r="K17" s="7">
        <v>13000</v>
      </c>
      <c r="N17" t="str">
        <v>P010</v>
      </c>
      <c r="O17" t="str">
        <v>Meera Iyer</v>
      </c>
      <c r="P17">
        <v>30</v>
      </c>
      <c r="Q17" t="str">
        <v>Female</v>
      </c>
      <c r="R17" t="str">
        <v>Thyroid</v>
      </c>
      <c r="S17" t="str">
        <v>Dr. Iyer</v>
      </c>
      <c r="T17">
        <v>46091</v>
      </c>
      <c r="U17">
        <v>10000</v>
      </c>
      <c r="V17">
        <v>2000</v>
      </c>
      <c r="W17">
        <v>4000</v>
      </c>
      <c r="X17">
        <v>16000</v>
      </c>
    </row>
    <row r="18" spans="1:24" x14ac:dyDescent="0.25">
      <c r="A18" s="5" t="s">
        <v>58</v>
      </c>
      <c r="B18" s="5" t="s">
        <v>59</v>
      </c>
      <c r="C18" s="5">
        <v>59</v>
      </c>
      <c r="D18" s="5" t="s">
        <v>2</v>
      </c>
      <c r="E18" s="5" t="s">
        <v>32</v>
      </c>
      <c r="F18" s="5" t="s">
        <v>29</v>
      </c>
      <c r="G18" s="6">
        <v>46098</v>
      </c>
      <c r="H18" s="7">
        <v>9000</v>
      </c>
      <c r="I18" s="7">
        <v>2000</v>
      </c>
      <c r="J18" s="8">
        <v>4000</v>
      </c>
      <c r="K18" s="7">
        <v>15000</v>
      </c>
      <c r="N18" t="str">
        <v>P011</v>
      </c>
      <c r="O18" t="str">
        <v>Arjun Reddy</v>
      </c>
      <c r="P18">
        <v>48</v>
      </c>
      <c r="Q18" t="str">
        <v>Male</v>
      </c>
      <c r="R18" t="str">
        <v>Diabetes</v>
      </c>
      <c r="S18" t="str">
        <v>Dr. Shah</v>
      </c>
      <c r="T18">
        <v>46092</v>
      </c>
      <c r="U18">
        <v>16000</v>
      </c>
      <c r="V18">
        <v>3500</v>
      </c>
      <c r="W18">
        <v>5000</v>
      </c>
      <c r="X18">
        <v>24500</v>
      </c>
    </row>
    <row r="19" spans="1:24" x14ac:dyDescent="0.25">
      <c r="A19" s="5" t="s">
        <v>60</v>
      </c>
      <c r="B19" s="5" t="s">
        <v>61</v>
      </c>
      <c r="C19" s="5">
        <v>33</v>
      </c>
      <c r="D19" s="5" t="s">
        <v>3</v>
      </c>
      <c r="E19" s="5" t="s">
        <v>36</v>
      </c>
      <c r="F19" s="5" t="s">
        <v>33</v>
      </c>
      <c r="G19" s="6">
        <v>46099</v>
      </c>
      <c r="H19" s="7">
        <v>19000</v>
      </c>
      <c r="I19" s="7">
        <v>4000</v>
      </c>
      <c r="J19" s="8">
        <v>6000</v>
      </c>
      <c r="K19" s="7">
        <v>29000</v>
      </c>
      <c r="N19" t="str">
        <v>P012</v>
      </c>
      <c r="O19" t="str">
        <v>Kavita Sharma</v>
      </c>
      <c r="P19">
        <v>52</v>
      </c>
      <c r="Q19" t="str">
        <v>Female</v>
      </c>
      <c r="R19" t="str">
        <v>Hypertension</v>
      </c>
      <c r="S19" t="str">
        <v>Dr. Kulkarni</v>
      </c>
      <c r="T19">
        <v>46093</v>
      </c>
      <c r="U19">
        <v>13000</v>
      </c>
      <c r="V19">
        <v>2500</v>
      </c>
      <c r="W19">
        <v>5000</v>
      </c>
      <c r="X19">
        <v>20500</v>
      </c>
    </row>
    <row r="20" spans="1:24" x14ac:dyDescent="0.25">
      <c r="A20" s="5" t="s">
        <v>62</v>
      </c>
      <c r="B20" s="5" t="s">
        <v>63</v>
      </c>
      <c r="C20" s="5">
        <v>47</v>
      </c>
      <c r="D20" s="5" t="s">
        <v>2</v>
      </c>
      <c r="E20" s="5" t="s">
        <v>42</v>
      </c>
      <c r="F20" s="5" t="s">
        <v>13</v>
      </c>
      <c r="G20" s="6">
        <v>46100</v>
      </c>
      <c r="H20" s="7">
        <v>15000</v>
      </c>
      <c r="I20" s="7">
        <v>3000</v>
      </c>
      <c r="J20" s="8">
        <v>5000</v>
      </c>
      <c r="K20" s="7">
        <v>23000</v>
      </c>
      <c r="N20" t="str">
        <v>P013</v>
      </c>
      <c r="O20" t="str">
        <v>Suresh Yadav</v>
      </c>
      <c r="P20">
        <v>65</v>
      </c>
      <c r="Q20" t="str">
        <v>Male</v>
      </c>
      <c r="R20" t="str">
        <v>Heart Disease</v>
      </c>
      <c r="S20" t="str">
        <v>Dr. Mehta</v>
      </c>
      <c r="T20">
        <v>46094</v>
      </c>
      <c r="U20">
        <v>32000</v>
      </c>
      <c r="V20">
        <v>9000</v>
      </c>
      <c r="W20">
        <v>10000</v>
      </c>
      <c r="X20">
        <v>51000</v>
      </c>
    </row>
    <row r="21" spans="1:24" x14ac:dyDescent="0.25">
      <c r="A21" s="5" t="s">
        <v>64</v>
      </c>
      <c r="B21" s="5" t="s">
        <v>65</v>
      </c>
      <c r="C21" s="5">
        <v>29</v>
      </c>
      <c r="D21" s="5" t="s">
        <v>3</v>
      </c>
      <c r="E21" s="5" t="s">
        <v>45</v>
      </c>
      <c r="F21" s="5" t="s">
        <v>17</v>
      </c>
      <c r="G21" s="6">
        <v>46101</v>
      </c>
      <c r="H21" s="7">
        <v>11000</v>
      </c>
      <c r="I21" s="7">
        <v>2000</v>
      </c>
      <c r="J21" s="8">
        <v>4000</v>
      </c>
      <c r="K21" s="7">
        <v>17000</v>
      </c>
      <c r="N21" t="str">
        <v>P014</v>
      </c>
      <c r="O21" t="str">
        <v>Divya Menon</v>
      </c>
      <c r="P21">
        <v>27</v>
      </c>
      <c r="Q21" t="str">
        <v>Female</v>
      </c>
      <c r="R21" t="str">
        <v>Flu</v>
      </c>
      <c r="S21" t="str">
        <v>Dr. Rao</v>
      </c>
      <c r="T21">
        <v>46095</v>
      </c>
      <c r="U21">
        <v>5500</v>
      </c>
      <c r="V21">
        <v>1500</v>
      </c>
      <c r="W21">
        <v>3000</v>
      </c>
      <c r="X21">
        <v>10000</v>
      </c>
    </row>
    <row r="22" spans="1:24" x14ac:dyDescent="0.25">
      <c r="A22" s="5" t="s">
        <v>66</v>
      </c>
      <c r="B22" s="5" t="s">
        <v>67</v>
      </c>
      <c r="C22" s="5">
        <v>36</v>
      </c>
      <c r="D22" s="5" t="s">
        <v>2</v>
      </c>
      <c r="E22" s="5" t="s">
        <v>12</v>
      </c>
      <c r="F22" s="5" t="s">
        <v>21</v>
      </c>
      <c r="G22" s="6">
        <v>46102</v>
      </c>
      <c r="H22" s="7">
        <v>15500</v>
      </c>
      <c r="I22" s="7">
        <v>3000</v>
      </c>
      <c r="J22" s="8">
        <v>5000</v>
      </c>
      <c r="K22" s="7">
        <v>23500</v>
      </c>
      <c r="N22" t="str">
        <v>P015</v>
      </c>
      <c r="O22" t="str">
        <v>Manoj Tiwari</v>
      </c>
      <c r="P22">
        <v>38</v>
      </c>
      <c r="Q22" t="str">
        <v>Male</v>
      </c>
      <c r="R22" t="str">
        <v>Fracture</v>
      </c>
      <c r="S22" t="str">
        <v>Dr. Singh</v>
      </c>
      <c r="T22">
        <v>46096</v>
      </c>
      <c r="U22">
        <v>21000</v>
      </c>
      <c r="V22">
        <v>5000</v>
      </c>
      <c r="W22">
        <v>7000</v>
      </c>
      <c r="X22">
        <v>33000</v>
      </c>
    </row>
    <row r="23" spans="1:24" x14ac:dyDescent="0.25">
      <c r="A23" s="5" t="s">
        <v>68</v>
      </c>
      <c r="B23" s="5" t="s">
        <v>69</v>
      </c>
      <c r="C23" s="5">
        <v>41</v>
      </c>
      <c r="D23" s="5" t="s">
        <v>3</v>
      </c>
      <c r="E23" s="5" t="s">
        <v>24</v>
      </c>
      <c r="F23" s="5" t="s">
        <v>25</v>
      </c>
      <c r="G23" s="6">
        <v>46103</v>
      </c>
      <c r="H23" s="7">
        <v>12500</v>
      </c>
      <c r="I23" s="7">
        <v>2500</v>
      </c>
      <c r="J23" s="8">
        <v>5000</v>
      </c>
      <c r="K23" s="7">
        <v>20000</v>
      </c>
      <c r="N23" t="str">
        <v>P016</v>
      </c>
      <c r="O23" t="str">
        <v>Ritu Jain</v>
      </c>
      <c r="P23">
        <v>44</v>
      </c>
      <c r="Q23" t="str">
        <v>Female</v>
      </c>
      <c r="R23" t="str">
        <v>Migraine</v>
      </c>
      <c r="S23" t="str">
        <v>Dr. Iyer</v>
      </c>
      <c r="T23">
        <v>46097</v>
      </c>
      <c r="U23">
        <v>7500</v>
      </c>
      <c r="V23">
        <v>1500</v>
      </c>
      <c r="W23">
        <v>4000</v>
      </c>
      <c r="X23">
        <v>13000</v>
      </c>
    </row>
    <row r="24" spans="1:24" x14ac:dyDescent="0.25">
      <c r="A24" s="5" t="s">
        <v>70</v>
      </c>
      <c r="B24" s="5" t="s">
        <v>71</v>
      </c>
      <c r="C24" s="5">
        <v>62</v>
      </c>
      <c r="D24" s="5" t="s">
        <v>2</v>
      </c>
      <c r="E24" s="5" t="s">
        <v>28</v>
      </c>
      <c r="F24" s="5" t="s">
        <v>29</v>
      </c>
      <c r="G24" s="6">
        <v>46104</v>
      </c>
      <c r="H24" s="7">
        <v>31000</v>
      </c>
      <c r="I24" s="7">
        <v>8500</v>
      </c>
      <c r="J24" s="8">
        <v>10000</v>
      </c>
      <c r="K24" s="7">
        <v>49500</v>
      </c>
      <c r="N24" t="str">
        <v>P017</v>
      </c>
      <c r="O24" t="str">
        <v>Sunil Chavan</v>
      </c>
      <c r="P24">
        <v>59</v>
      </c>
      <c r="Q24" t="str">
        <v>Male</v>
      </c>
      <c r="R24" t="str">
        <v>Asthma</v>
      </c>
      <c r="S24" t="str">
        <v>Dr. Shah</v>
      </c>
      <c r="T24">
        <v>46098</v>
      </c>
      <c r="U24">
        <v>9000</v>
      </c>
      <c r="V24">
        <v>2000</v>
      </c>
      <c r="W24">
        <v>4000</v>
      </c>
      <c r="X24">
        <v>15000</v>
      </c>
    </row>
    <row r="25" spans="1:24" x14ac:dyDescent="0.25">
      <c r="A25" s="5" t="s">
        <v>72</v>
      </c>
      <c r="B25" s="5" t="s">
        <v>73</v>
      </c>
      <c r="C25" s="5">
        <v>26</v>
      </c>
      <c r="D25" s="5" t="s">
        <v>3</v>
      </c>
      <c r="E25" s="5" t="s">
        <v>16</v>
      </c>
      <c r="F25" s="5" t="s">
        <v>33</v>
      </c>
      <c r="G25" s="6">
        <v>46105</v>
      </c>
      <c r="H25" s="7">
        <v>5000</v>
      </c>
      <c r="I25" s="7">
        <v>1500</v>
      </c>
      <c r="J25" s="8">
        <v>3000</v>
      </c>
      <c r="K25" s="7">
        <v>9500</v>
      </c>
      <c r="N25" t="str">
        <v>P018</v>
      </c>
      <c r="O25" t="str">
        <v>Priyanka Das</v>
      </c>
      <c r="P25">
        <v>33</v>
      </c>
      <c r="Q25" t="str">
        <v>Female</v>
      </c>
      <c r="R25" t="str">
        <v>Covid-19</v>
      </c>
      <c r="S25" t="str">
        <v>Dr. Kulkarni</v>
      </c>
      <c r="T25">
        <v>46099</v>
      </c>
      <c r="U25">
        <v>19000</v>
      </c>
      <c r="V25">
        <v>4000</v>
      </c>
      <c r="W25">
        <v>6000</v>
      </c>
      <c r="X25">
        <v>29000</v>
      </c>
    </row>
    <row r="26" spans="1:24" x14ac:dyDescent="0.25">
      <c r="A26" s="5" t="s">
        <v>74</v>
      </c>
      <c r="B26" s="5" t="s">
        <v>75</v>
      </c>
      <c r="C26" s="5">
        <v>39</v>
      </c>
      <c r="D26" s="5" t="s">
        <v>2</v>
      </c>
      <c r="E26" s="5" t="s">
        <v>20</v>
      </c>
      <c r="F26" s="5" t="s">
        <v>13</v>
      </c>
      <c r="G26" s="6">
        <v>46106</v>
      </c>
      <c r="H26" s="7">
        <v>22000</v>
      </c>
      <c r="I26" s="7">
        <v>5000</v>
      </c>
      <c r="J26" s="8">
        <v>7000</v>
      </c>
      <c r="K26" s="7">
        <v>34000</v>
      </c>
      <c r="N26" t="str">
        <v>P019</v>
      </c>
      <c r="O26" t="str">
        <v>Deepak Mishra</v>
      </c>
      <c r="P26">
        <v>47</v>
      </c>
      <c r="Q26" t="str">
        <v>Male</v>
      </c>
      <c r="R26" t="str">
        <v>Arthritis</v>
      </c>
      <c r="S26" t="str">
        <v>Dr. Mehta</v>
      </c>
      <c r="T26">
        <v>46100</v>
      </c>
      <c r="U26">
        <v>15000</v>
      </c>
      <c r="V26">
        <v>3000</v>
      </c>
      <c r="W26">
        <v>5000</v>
      </c>
      <c r="X26">
        <v>23000</v>
      </c>
    </row>
    <row r="27" spans="1:24" x14ac:dyDescent="0.25">
      <c r="A27" s="5" t="s">
        <v>76</v>
      </c>
      <c r="B27" s="5" t="s">
        <v>77</v>
      </c>
      <c r="C27" s="5">
        <v>31</v>
      </c>
      <c r="D27" s="5" t="s">
        <v>3</v>
      </c>
      <c r="E27" s="5" t="s">
        <v>39</v>
      </c>
      <c r="F27" s="5" t="s">
        <v>17</v>
      </c>
      <c r="G27" s="6">
        <v>46107</v>
      </c>
      <c r="H27" s="7">
        <v>7000</v>
      </c>
      <c r="I27" s="7">
        <v>1500</v>
      </c>
      <c r="J27" s="8">
        <v>4000</v>
      </c>
      <c r="K27" s="7">
        <v>12500</v>
      </c>
      <c r="N27" t="str">
        <v>P020</v>
      </c>
      <c r="O27" t="str">
        <v>Shreya Sen</v>
      </c>
      <c r="P27">
        <v>29</v>
      </c>
      <c r="Q27" t="str">
        <v>Female</v>
      </c>
      <c r="R27" t="str">
        <v>Thyroid</v>
      </c>
      <c r="S27" t="str">
        <v>Dr. Rao</v>
      </c>
      <c r="T27">
        <v>46101</v>
      </c>
      <c r="U27">
        <v>11000</v>
      </c>
      <c r="V27">
        <v>2000</v>
      </c>
      <c r="W27">
        <v>4000</v>
      </c>
      <c r="X27">
        <v>17000</v>
      </c>
    </row>
    <row r="28" spans="1:24" x14ac:dyDescent="0.25">
      <c r="A28" s="5" t="s">
        <v>78</v>
      </c>
      <c r="B28" s="5" t="s">
        <v>79</v>
      </c>
      <c r="C28" s="5">
        <v>58</v>
      </c>
      <c r="D28" s="5" t="s">
        <v>2</v>
      </c>
      <c r="E28" s="5" t="s">
        <v>32</v>
      </c>
      <c r="F28" s="5" t="s">
        <v>21</v>
      </c>
      <c r="G28" s="6">
        <v>46108</v>
      </c>
      <c r="H28" s="7">
        <v>8500</v>
      </c>
      <c r="I28" s="7">
        <v>2000</v>
      </c>
      <c r="J28" s="8">
        <v>4000</v>
      </c>
      <c r="K28" s="7">
        <v>14500</v>
      </c>
      <c r="N28" t="str">
        <v>P021</v>
      </c>
      <c r="O28" t="str">
        <v>Nitin Agarwal</v>
      </c>
      <c r="P28">
        <v>36</v>
      </c>
      <c r="Q28" t="str">
        <v>Male</v>
      </c>
      <c r="R28" t="str">
        <v>Diabetes</v>
      </c>
      <c r="S28" t="str">
        <v>Dr. Singh</v>
      </c>
      <c r="T28">
        <v>46102</v>
      </c>
      <c r="U28">
        <v>15500</v>
      </c>
      <c r="V28">
        <v>3000</v>
      </c>
      <c r="W28">
        <v>5000</v>
      </c>
      <c r="X28">
        <v>23500</v>
      </c>
    </row>
    <row r="29" spans="1:24" x14ac:dyDescent="0.25">
      <c r="A29" s="5" t="s">
        <v>80</v>
      </c>
      <c r="B29" s="5" t="s">
        <v>81</v>
      </c>
      <c r="C29" s="5">
        <v>34</v>
      </c>
      <c r="D29" s="5" t="s">
        <v>3</v>
      </c>
      <c r="E29" s="5" t="s">
        <v>36</v>
      </c>
      <c r="F29" s="5" t="s">
        <v>25</v>
      </c>
      <c r="G29" s="6">
        <v>46109</v>
      </c>
      <c r="H29" s="7">
        <v>18500</v>
      </c>
      <c r="I29" s="7">
        <v>4000</v>
      </c>
      <c r="J29" s="8">
        <v>6000</v>
      </c>
      <c r="K29" s="7">
        <v>28500</v>
      </c>
      <c r="N29" t="str">
        <v>P022</v>
      </c>
      <c r="O29" t="str">
        <v>Alka Verma</v>
      </c>
      <c r="P29">
        <v>41</v>
      </c>
      <c r="Q29" t="str">
        <v>Female</v>
      </c>
      <c r="R29" t="str">
        <v>Hypertension</v>
      </c>
      <c r="S29" t="str">
        <v>Dr. Iyer</v>
      </c>
      <c r="T29">
        <v>46103</v>
      </c>
      <c r="U29">
        <v>12500</v>
      </c>
      <c r="V29">
        <v>2500</v>
      </c>
      <c r="W29">
        <v>5000</v>
      </c>
      <c r="X29">
        <v>20000</v>
      </c>
    </row>
    <row r="30" spans="1:24" x14ac:dyDescent="0.25">
      <c r="A30" s="5" t="s">
        <v>82</v>
      </c>
      <c r="B30" s="5" t="s">
        <v>83</v>
      </c>
      <c r="C30" s="5">
        <v>46</v>
      </c>
      <c r="D30" s="5" t="s">
        <v>2</v>
      </c>
      <c r="E30" s="5" t="s">
        <v>42</v>
      </c>
      <c r="F30" s="5" t="s">
        <v>29</v>
      </c>
      <c r="G30" s="6">
        <v>46110</v>
      </c>
      <c r="H30" s="7">
        <v>14500</v>
      </c>
      <c r="I30" s="7">
        <v>3000</v>
      </c>
      <c r="J30" s="8">
        <v>5000</v>
      </c>
      <c r="K30" s="7">
        <v>22500</v>
      </c>
      <c r="N30" t="str">
        <v>P023</v>
      </c>
      <c r="O30" t="str">
        <v>Ramesh Pillai</v>
      </c>
      <c r="P30">
        <v>62</v>
      </c>
      <c r="Q30" t="str">
        <v>Male</v>
      </c>
      <c r="R30" t="str">
        <v>Heart Disease</v>
      </c>
      <c r="S30" t="str">
        <v>Dr. Shah</v>
      </c>
      <c r="T30">
        <v>46104</v>
      </c>
      <c r="U30">
        <v>31000</v>
      </c>
      <c r="V30">
        <v>8500</v>
      </c>
      <c r="W30">
        <v>10000</v>
      </c>
      <c r="X30">
        <v>49500</v>
      </c>
    </row>
    <row r="31" spans="1:24" x14ac:dyDescent="0.25">
      <c r="A31" s="5" t="s">
        <v>84</v>
      </c>
      <c r="B31" s="5" t="s">
        <v>85</v>
      </c>
      <c r="C31" s="5">
        <v>28</v>
      </c>
      <c r="D31" s="5" t="s">
        <v>3</v>
      </c>
      <c r="E31" s="5" t="s">
        <v>45</v>
      </c>
      <c r="F31" s="5" t="s">
        <v>33</v>
      </c>
      <c r="G31" s="6">
        <v>46111</v>
      </c>
      <c r="H31" s="7">
        <v>10500</v>
      </c>
      <c r="I31" s="7">
        <v>2000</v>
      </c>
      <c r="J31" s="8">
        <v>4000</v>
      </c>
      <c r="K31" s="7">
        <v>16500</v>
      </c>
      <c r="N31" t="str">
        <v>P024</v>
      </c>
      <c r="O31" t="str">
        <v>Anita Roy</v>
      </c>
      <c r="P31">
        <v>26</v>
      </c>
      <c r="Q31" t="str">
        <v>Female</v>
      </c>
      <c r="R31" t="str">
        <v>Flu</v>
      </c>
      <c r="S31" t="str">
        <v>Dr. Kulkarni</v>
      </c>
      <c r="T31">
        <v>46105</v>
      </c>
      <c r="U31">
        <v>5000</v>
      </c>
      <c r="V31">
        <v>1500</v>
      </c>
      <c r="W31">
        <v>3000</v>
      </c>
      <c r="X31">
        <v>9500</v>
      </c>
    </row>
    <row r="32" spans="1:24" x14ac:dyDescent="0.25">
      <c r="A32" s="5" t="s">
        <v>86</v>
      </c>
      <c r="B32" s="5" t="s">
        <v>87</v>
      </c>
      <c r="C32" s="5">
        <v>49</v>
      </c>
      <c r="D32" s="5" t="s">
        <v>2</v>
      </c>
      <c r="E32" s="5" t="s">
        <v>12</v>
      </c>
      <c r="F32" s="5" t="s">
        <v>13</v>
      </c>
      <c r="G32" s="6">
        <v>46112</v>
      </c>
      <c r="H32" s="7">
        <v>16000</v>
      </c>
      <c r="I32" s="7">
        <v>3500</v>
      </c>
      <c r="J32" s="8">
        <v>5000</v>
      </c>
      <c r="K32" s="7">
        <v>24500</v>
      </c>
      <c r="N32" t="str">
        <v>P025</v>
      </c>
      <c r="O32" t="str">
        <v>Gaurav Bansal</v>
      </c>
      <c r="P32">
        <v>39</v>
      </c>
      <c r="Q32" t="str">
        <v>Male</v>
      </c>
      <c r="R32" t="str">
        <v>Fracture</v>
      </c>
      <c r="S32" t="str">
        <v>Dr. Mehta</v>
      </c>
      <c r="T32">
        <v>46106</v>
      </c>
      <c r="U32">
        <v>22000</v>
      </c>
      <c r="V32">
        <v>5000</v>
      </c>
      <c r="W32">
        <v>7000</v>
      </c>
      <c r="X32">
        <v>34000</v>
      </c>
    </row>
    <row r="33" spans="1:24" x14ac:dyDescent="0.25">
      <c r="A33" s="5" t="s">
        <v>88</v>
      </c>
      <c r="B33" s="5" t="s">
        <v>89</v>
      </c>
      <c r="C33" s="5">
        <v>53</v>
      </c>
      <c r="D33" s="5" t="s">
        <v>3</v>
      </c>
      <c r="E33" s="5" t="s">
        <v>24</v>
      </c>
      <c r="F33" s="5" t="s">
        <v>17</v>
      </c>
      <c r="G33" s="6">
        <v>46113</v>
      </c>
      <c r="H33" s="7">
        <v>13000</v>
      </c>
      <c r="I33" s="7">
        <v>2500</v>
      </c>
      <c r="J33" s="8">
        <v>5000</v>
      </c>
      <c r="K33" s="7">
        <v>20500</v>
      </c>
      <c r="N33" t="str">
        <v>P026</v>
      </c>
      <c r="O33" t="str">
        <v>Sonal Shah</v>
      </c>
      <c r="P33">
        <v>31</v>
      </c>
      <c r="Q33" t="str">
        <v>Female</v>
      </c>
      <c r="R33" t="str">
        <v>Migraine</v>
      </c>
      <c r="S33" t="str">
        <v>Dr. Rao</v>
      </c>
      <c r="T33">
        <v>46107</v>
      </c>
      <c r="U33">
        <v>7000</v>
      </c>
      <c r="V33">
        <v>1500</v>
      </c>
      <c r="W33">
        <v>4000</v>
      </c>
      <c r="X33">
        <v>12500</v>
      </c>
    </row>
    <row r="34" spans="1:24" x14ac:dyDescent="0.25">
      <c r="A34" s="5" t="s">
        <v>90</v>
      </c>
      <c r="B34" s="5" t="s">
        <v>91</v>
      </c>
      <c r="C34" s="5">
        <v>64</v>
      </c>
      <c r="D34" s="5" t="s">
        <v>2</v>
      </c>
      <c r="E34" s="5" t="s">
        <v>28</v>
      </c>
      <c r="F34" s="5" t="s">
        <v>21</v>
      </c>
      <c r="G34" s="6">
        <v>46114</v>
      </c>
      <c r="H34" s="7">
        <v>33000</v>
      </c>
      <c r="I34" s="7">
        <v>9000</v>
      </c>
      <c r="J34" s="8">
        <v>10000</v>
      </c>
      <c r="K34" s="7">
        <v>52000</v>
      </c>
      <c r="N34" t="str">
        <v>P027</v>
      </c>
      <c r="O34" t="str">
        <v>Harish Kumar</v>
      </c>
      <c r="P34">
        <v>58</v>
      </c>
      <c r="Q34" t="str">
        <v>Male</v>
      </c>
      <c r="R34" t="str">
        <v>Asthma</v>
      </c>
      <c r="S34" t="str">
        <v>Dr. Singh</v>
      </c>
      <c r="T34">
        <v>46108</v>
      </c>
      <c r="U34">
        <v>8500</v>
      </c>
      <c r="V34">
        <v>2000</v>
      </c>
      <c r="W34">
        <v>4000</v>
      </c>
      <c r="X34">
        <v>14500</v>
      </c>
    </row>
    <row r="35" spans="1:24" x14ac:dyDescent="0.25">
      <c r="A35" s="5" t="s">
        <v>92</v>
      </c>
      <c r="B35" s="5" t="s">
        <v>93</v>
      </c>
      <c r="C35" s="5">
        <v>24</v>
      </c>
      <c r="D35" s="5" t="s">
        <v>3</v>
      </c>
      <c r="E35" s="5" t="s">
        <v>16</v>
      </c>
      <c r="F35" s="5" t="s">
        <v>25</v>
      </c>
      <c r="G35" s="6">
        <v>46115</v>
      </c>
      <c r="H35" s="7">
        <v>5500</v>
      </c>
      <c r="I35" s="7">
        <v>1500</v>
      </c>
      <c r="J35" s="8">
        <v>3000</v>
      </c>
      <c r="K35" s="7">
        <v>10000</v>
      </c>
      <c r="N35" t="str">
        <v>P028</v>
      </c>
      <c r="O35" t="str">
        <v>Nisha Gupta</v>
      </c>
      <c r="P35">
        <v>34</v>
      </c>
      <c r="Q35" t="str">
        <v>Female</v>
      </c>
      <c r="R35" t="str">
        <v>Covid-19</v>
      </c>
      <c r="S35" t="str">
        <v>Dr. Iyer</v>
      </c>
      <c r="T35">
        <v>46109</v>
      </c>
      <c r="U35">
        <v>18500</v>
      </c>
      <c r="V35">
        <v>4000</v>
      </c>
      <c r="W35">
        <v>6000</v>
      </c>
      <c r="X35">
        <v>28500</v>
      </c>
    </row>
    <row r="36" spans="1:24" x14ac:dyDescent="0.25">
      <c r="A36" s="5" t="s">
        <v>94</v>
      </c>
      <c r="B36" s="5" t="s">
        <v>95</v>
      </c>
      <c r="C36" s="5">
        <v>37</v>
      </c>
      <c r="D36" s="5" t="s">
        <v>2</v>
      </c>
      <c r="E36" s="5" t="s">
        <v>20</v>
      </c>
      <c r="F36" s="5" t="s">
        <v>29</v>
      </c>
      <c r="G36" s="6">
        <v>46116</v>
      </c>
      <c r="H36" s="7">
        <v>20000</v>
      </c>
      <c r="I36" s="7">
        <v>5000</v>
      </c>
      <c r="J36" s="8">
        <v>7000</v>
      </c>
      <c r="K36" s="7">
        <v>32000</v>
      </c>
      <c r="N36" t="str">
        <v>P029</v>
      </c>
      <c r="O36" t="str">
        <v>Ajay Singh</v>
      </c>
      <c r="P36">
        <v>46</v>
      </c>
      <c r="Q36" t="str">
        <v>Male</v>
      </c>
      <c r="R36" t="str">
        <v>Arthritis</v>
      </c>
      <c r="S36" t="str">
        <v>Dr. Shah</v>
      </c>
      <c r="T36">
        <v>46110</v>
      </c>
      <c r="U36">
        <v>14500</v>
      </c>
      <c r="V36">
        <v>3000</v>
      </c>
      <c r="W36">
        <v>5000</v>
      </c>
      <c r="X36">
        <v>22500</v>
      </c>
    </row>
    <row r="37" spans="1:24" x14ac:dyDescent="0.25">
      <c r="A37" s="5" t="s">
        <v>96</v>
      </c>
      <c r="B37" s="5" t="s">
        <v>97</v>
      </c>
      <c r="C37" s="5">
        <v>42</v>
      </c>
      <c r="D37" s="5" t="s">
        <v>3</v>
      </c>
      <c r="E37" s="5" t="s">
        <v>39</v>
      </c>
      <c r="F37" s="5" t="s">
        <v>33</v>
      </c>
      <c r="G37" s="6">
        <v>46117</v>
      </c>
      <c r="H37" s="7">
        <v>7500</v>
      </c>
      <c r="I37" s="7">
        <v>1500</v>
      </c>
      <c r="J37" s="8">
        <v>4000</v>
      </c>
      <c r="K37" s="7">
        <v>13000</v>
      </c>
      <c r="N37" t="str">
        <v>P030</v>
      </c>
      <c r="O37" t="str">
        <v>Komal Arora</v>
      </c>
      <c r="P37">
        <v>28</v>
      </c>
      <c r="Q37" t="str">
        <v>Female</v>
      </c>
      <c r="R37" t="str">
        <v>Thyroid</v>
      </c>
      <c r="S37" t="str">
        <v>Dr. Kulkarni</v>
      </c>
      <c r="T37">
        <v>46111</v>
      </c>
      <c r="U37">
        <v>10500</v>
      </c>
      <c r="V37">
        <v>2000</v>
      </c>
      <c r="W37">
        <v>4000</v>
      </c>
      <c r="X37">
        <v>16500</v>
      </c>
    </row>
    <row r="38" spans="1:24" x14ac:dyDescent="0.25">
      <c r="A38" s="5" t="s">
        <v>98</v>
      </c>
      <c r="B38" s="5" t="s">
        <v>99</v>
      </c>
      <c r="C38" s="5">
        <v>57</v>
      </c>
      <c r="D38" s="5" t="s">
        <v>2</v>
      </c>
      <c r="E38" s="5" t="s">
        <v>32</v>
      </c>
      <c r="F38" s="5" t="s">
        <v>13</v>
      </c>
      <c r="G38" s="6">
        <v>46118</v>
      </c>
      <c r="H38" s="7">
        <v>9000</v>
      </c>
      <c r="I38" s="7">
        <v>2000</v>
      </c>
      <c r="J38" s="8">
        <v>4000</v>
      </c>
      <c r="K38" s="7">
        <v>15000</v>
      </c>
      <c r="N38" t="str">
        <v>P031</v>
      </c>
      <c r="O38" t="str">
        <v>Sachin Patil</v>
      </c>
      <c r="P38">
        <v>49</v>
      </c>
      <c r="Q38" t="str">
        <v>Male</v>
      </c>
      <c r="R38" t="str">
        <v>Diabetes</v>
      </c>
      <c r="S38" t="str">
        <v>Dr. Mehta</v>
      </c>
      <c r="T38">
        <v>46112</v>
      </c>
      <c r="U38">
        <v>16000</v>
      </c>
      <c r="V38">
        <v>3500</v>
      </c>
      <c r="W38">
        <v>5000</v>
      </c>
      <c r="X38">
        <v>24500</v>
      </c>
    </row>
    <row r="39" spans="1:24" x14ac:dyDescent="0.25">
      <c r="A39" s="5" t="s">
        <v>100</v>
      </c>
      <c r="B39" s="5" t="s">
        <v>101</v>
      </c>
      <c r="C39" s="5">
        <v>30</v>
      </c>
      <c r="D39" s="5" t="s">
        <v>3</v>
      </c>
      <c r="E39" s="5" t="s">
        <v>36</v>
      </c>
      <c r="F39" s="5" t="s">
        <v>17</v>
      </c>
      <c r="G39" s="6">
        <v>46119</v>
      </c>
      <c r="H39" s="7">
        <v>18000</v>
      </c>
      <c r="I39" s="7">
        <v>4000</v>
      </c>
      <c r="J39" s="8">
        <v>6000</v>
      </c>
      <c r="K39" s="7">
        <v>28000</v>
      </c>
      <c r="N39" t="str">
        <v>P032</v>
      </c>
      <c r="O39" t="str">
        <v>Rekha Nair</v>
      </c>
      <c r="P39">
        <v>53</v>
      </c>
      <c r="Q39" t="str">
        <v>Female</v>
      </c>
      <c r="R39" t="str">
        <v>Hypertension</v>
      </c>
      <c r="S39" t="str">
        <v>Dr. Rao</v>
      </c>
      <c r="T39">
        <v>46113</v>
      </c>
      <c r="U39">
        <v>13000</v>
      </c>
      <c r="V39">
        <v>2500</v>
      </c>
      <c r="W39">
        <v>5000</v>
      </c>
      <c r="X39">
        <v>20500</v>
      </c>
    </row>
    <row r="40" spans="1:24" x14ac:dyDescent="0.25">
      <c r="A40" s="5" t="s">
        <v>102</v>
      </c>
      <c r="B40" s="5" t="s">
        <v>103</v>
      </c>
      <c r="C40" s="5">
        <v>51</v>
      </c>
      <c r="D40" s="5" t="s">
        <v>2</v>
      </c>
      <c r="E40" s="5" t="s">
        <v>42</v>
      </c>
      <c r="F40" s="5" t="s">
        <v>21</v>
      </c>
      <c r="G40" s="6">
        <v>46120</v>
      </c>
      <c r="H40" s="7">
        <v>15000</v>
      </c>
      <c r="I40" s="7">
        <v>3000</v>
      </c>
      <c r="J40" s="8">
        <v>5000</v>
      </c>
      <c r="K40" s="7">
        <v>23000</v>
      </c>
      <c r="N40" t="str">
        <v>P033</v>
      </c>
      <c r="O40" t="str">
        <v>Prakash Shetty</v>
      </c>
      <c r="P40">
        <v>64</v>
      </c>
      <c r="Q40" t="str">
        <v>Male</v>
      </c>
      <c r="R40" t="str">
        <v>Heart Disease</v>
      </c>
      <c r="S40" t="str">
        <v>Dr. Singh</v>
      </c>
      <c r="T40">
        <v>46114</v>
      </c>
      <c r="U40">
        <v>33000</v>
      </c>
      <c r="V40">
        <v>9000</v>
      </c>
      <c r="W40">
        <v>10000</v>
      </c>
      <c r="X40">
        <v>52000</v>
      </c>
    </row>
    <row r="41" spans="1:24" x14ac:dyDescent="0.25">
      <c r="A41" s="5" t="s">
        <v>104</v>
      </c>
      <c r="B41" s="5" t="s">
        <v>105</v>
      </c>
      <c r="C41" s="5">
        <v>27</v>
      </c>
      <c r="D41" s="5" t="s">
        <v>3</v>
      </c>
      <c r="E41" s="5" t="s">
        <v>45</v>
      </c>
      <c r="F41" s="5" t="s">
        <v>25</v>
      </c>
      <c r="G41" s="6">
        <v>46121</v>
      </c>
      <c r="H41" s="7">
        <v>10000</v>
      </c>
      <c r="I41" s="7">
        <v>2000</v>
      </c>
      <c r="J41" s="8">
        <v>4000</v>
      </c>
      <c r="K41" s="7">
        <v>16000</v>
      </c>
      <c r="N41" t="str">
        <v>P034</v>
      </c>
      <c r="O41" t="str">
        <v>Swati Kulkarni</v>
      </c>
      <c r="P41">
        <v>24</v>
      </c>
      <c r="Q41" t="str">
        <v>Female</v>
      </c>
      <c r="R41" t="str">
        <v>Flu</v>
      </c>
      <c r="S41" t="str">
        <v>Dr. Iyer</v>
      </c>
      <c r="T41">
        <v>46115</v>
      </c>
      <c r="U41">
        <v>5500</v>
      </c>
      <c r="V41">
        <v>1500</v>
      </c>
      <c r="W41">
        <v>3000</v>
      </c>
      <c r="X41">
        <v>10000</v>
      </c>
    </row>
    <row r="42" spans="1:24" x14ac:dyDescent="0.25">
      <c r="A42" s="5" t="s">
        <v>106</v>
      </c>
      <c r="B42" s="5" t="s">
        <v>107</v>
      </c>
      <c r="C42" s="5">
        <v>43</v>
      </c>
      <c r="D42" s="5" t="s">
        <v>2</v>
      </c>
      <c r="E42" s="5" t="s">
        <v>12</v>
      </c>
      <c r="F42" s="5" t="s">
        <v>29</v>
      </c>
      <c r="G42" s="6">
        <v>46122</v>
      </c>
      <c r="H42" s="7">
        <v>15500</v>
      </c>
      <c r="I42" s="7">
        <v>3000</v>
      </c>
      <c r="J42" s="8">
        <v>5000</v>
      </c>
      <c r="K42" s="7">
        <v>23500</v>
      </c>
      <c r="N42" t="str">
        <v>P035</v>
      </c>
      <c r="O42" t="str">
        <v>Anil Verma</v>
      </c>
      <c r="P42">
        <v>37</v>
      </c>
      <c r="Q42" t="str">
        <v>Male</v>
      </c>
      <c r="R42" t="str">
        <v>Fracture</v>
      </c>
      <c r="S42" t="str">
        <v>Dr. Shah</v>
      </c>
      <c r="T42">
        <v>46116</v>
      </c>
      <c r="U42">
        <v>20000</v>
      </c>
      <c r="V42">
        <v>5000</v>
      </c>
      <c r="W42">
        <v>7000</v>
      </c>
      <c r="X42">
        <v>32000</v>
      </c>
    </row>
    <row r="43" spans="1:24" x14ac:dyDescent="0.25">
      <c r="A43" s="5" t="s">
        <v>108</v>
      </c>
      <c r="B43" s="5" t="s">
        <v>109</v>
      </c>
      <c r="C43" s="5">
        <v>35</v>
      </c>
      <c r="D43" s="5" t="s">
        <v>3</v>
      </c>
      <c r="E43" s="5" t="s">
        <v>24</v>
      </c>
      <c r="F43" s="5" t="s">
        <v>33</v>
      </c>
      <c r="G43" s="6">
        <v>46123</v>
      </c>
      <c r="H43" s="7">
        <v>12500</v>
      </c>
      <c r="I43" s="7">
        <v>2500</v>
      </c>
      <c r="J43" s="8">
        <v>5000</v>
      </c>
      <c r="K43" s="7">
        <v>20000</v>
      </c>
      <c r="N43" t="str">
        <v>P036</v>
      </c>
      <c r="O43" t="str">
        <v>Rashmi Joshi</v>
      </c>
      <c r="P43">
        <v>42</v>
      </c>
      <c r="Q43" t="str">
        <v>Female</v>
      </c>
      <c r="R43" t="str">
        <v>Migraine</v>
      </c>
      <c r="S43" t="str">
        <v>Dr. Kulkarni</v>
      </c>
      <c r="T43">
        <v>46117</v>
      </c>
      <c r="U43">
        <v>7500</v>
      </c>
      <c r="V43">
        <v>1500</v>
      </c>
      <c r="W43">
        <v>4000</v>
      </c>
      <c r="X43">
        <v>13000</v>
      </c>
    </row>
    <row r="44" spans="1:24" x14ac:dyDescent="0.25">
      <c r="A44" s="5" t="s">
        <v>110</v>
      </c>
      <c r="B44" s="5" t="s">
        <v>111</v>
      </c>
      <c r="C44" s="5">
        <v>66</v>
      </c>
      <c r="D44" s="5" t="s">
        <v>2</v>
      </c>
      <c r="E44" s="5" t="s">
        <v>28</v>
      </c>
      <c r="F44" s="5" t="s">
        <v>13</v>
      </c>
      <c r="G44" s="6">
        <v>46124</v>
      </c>
      <c r="H44" s="7">
        <v>34000</v>
      </c>
      <c r="I44" s="7">
        <v>9500</v>
      </c>
      <c r="J44" s="8">
        <v>10000</v>
      </c>
      <c r="K44" s="7">
        <v>53500</v>
      </c>
      <c r="N44" t="str">
        <v>P037</v>
      </c>
      <c r="O44" t="str">
        <v>Naresh Yadav</v>
      </c>
      <c r="P44">
        <v>57</v>
      </c>
      <c r="Q44" t="str">
        <v>Male</v>
      </c>
      <c r="R44" t="str">
        <v>Asthma</v>
      </c>
      <c r="S44" t="str">
        <v>Dr. Mehta</v>
      </c>
      <c r="T44">
        <v>46118</v>
      </c>
      <c r="U44">
        <v>9000</v>
      </c>
      <c r="V44">
        <v>2000</v>
      </c>
      <c r="W44">
        <v>4000</v>
      </c>
      <c r="X44">
        <v>15000</v>
      </c>
    </row>
    <row r="45" spans="1:24" x14ac:dyDescent="0.25">
      <c r="A45" s="5" t="s">
        <v>112</v>
      </c>
      <c r="B45" s="5" t="s">
        <v>113</v>
      </c>
      <c r="C45" s="5">
        <v>23</v>
      </c>
      <c r="D45" s="5" t="s">
        <v>3</v>
      </c>
      <c r="E45" s="5" t="s">
        <v>16</v>
      </c>
      <c r="F45" s="5" t="s">
        <v>17</v>
      </c>
      <c r="G45" s="6">
        <v>46125</v>
      </c>
      <c r="H45" s="7">
        <v>5000</v>
      </c>
      <c r="I45" s="7">
        <v>1500</v>
      </c>
      <c r="J45" s="8">
        <v>3000</v>
      </c>
      <c r="K45" s="7">
        <v>9500</v>
      </c>
      <c r="N45" t="str">
        <v>P038</v>
      </c>
      <c r="O45" t="str">
        <v>Payal Jain</v>
      </c>
      <c r="P45">
        <v>30</v>
      </c>
      <c r="Q45" t="str">
        <v>Female</v>
      </c>
      <c r="R45" t="str">
        <v>Covid-19</v>
      </c>
      <c r="S45" t="str">
        <v>Dr. Rao</v>
      </c>
      <c r="T45">
        <v>46119</v>
      </c>
      <c r="U45">
        <v>18000</v>
      </c>
      <c r="V45">
        <v>4000</v>
      </c>
      <c r="W45">
        <v>6000</v>
      </c>
      <c r="X45">
        <v>28000</v>
      </c>
    </row>
    <row r="46" spans="1:24" x14ac:dyDescent="0.25">
      <c r="A46" s="5" t="s">
        <v>114</v>
      </c>
      <c r="B46" s="5" t="s">
        <v>115</v>
      </c>
      <c r="C46" s="5">
        <v>38</v>
      </c>
      <c r="D46" s="5" t="s">
        <v>2</v>
      </c>
      <c r="E46" s="5" t="s">
        <v>20</v>
      </c>
      <c r="F46" s="5" t="s">
        <v>21</v>
      </c>
      <c r="G46" s="6">
        <v>46126</v>
      </c>
      <c r="H46" s="7">
        <v>21000</v>
      </c>
      <c r="I46" s="7">
        <v>5000</v>
      </c>
      <c r="J46" s="8">
        <v>7000</v>
      </c>
      <c r="K46" s="7">
        <v>33000</v>
      </c>
      <c r="N46" t="str">
        <v>P039</v>
      </c>
      <c r="O46" t="str">
        <v>Rajesh Khanna</v>
      </c>
      <c r="P46">
        <v>51</v>
      </c>
      <c r="Q46" t="str">
        <v>Male</v>
      </c>
      <c r="R46" t="str">
        <v>Arthritis</v>
      </c>
      <c r="S46" t="str">
        <v>Dr. Singh</v>
      </c>
      <c r="T46">
        <v>46120</v>
      </c>
      <c r="U46">
        <v>15000</v>
      </c>
      <c r="V46">
        <v>3000</v>
      </c>
      <c r="W46">
        <v>5000</v>
      </c>
      <c r="X46">
        <v>23000</v>
      </c>
    </row>
    <row r="47" spans="1:24" x14ac:dyDescent="0.25">
      <c r="A47" s="5" t="s">
        <v>116</v>
      </c>
      <c r="B47" s="5" t="s">
        <v>117</v>
      </c>
      <c r="C47" s="5">
        <v>45</v>
      </c>
      <c r="D47" s="5" t="s">
        <v>3</v>
      </c>
      <c r="E47" s="5" t="s">
        <v>39</v>
      </c>
      <c r="F47" s="5" t="s">
        <v>25</v>
      </c>
      <c r="G47" s="6">
        <v>46127</v>
      </c>
      <c r="H47" s="7">
        <v>7000</v>
      </c>
      <c r="I47" s="7">
        <v>1500</v>
      </c>
      <c r="J47" s="8">
        <v>4000</v>
      </c>
      <c r="K47" s="7">
        <v>12500</v>
      </c>
      <c r="N47" t="str">
        <v>P040</v>
      </c>
      <c r="O47" t="str">
        <v>Simran Kaur</v>
      </c>
      <c r="P47">
        <v>27</v>
      </c>
      <c r="Q47" t="str">
        <v>Female</v>
      </c>
      <c r="R47" t="str">
        <v>Thyroid</v>
      </c>
      <c r="S47" t="str">
        <v>Dr. Iyer</v>
      </c>
      <c r="T47">
        <v>46121</v>
      </c>
      <c r="U47">
        <v>10000</v>
      </c>
      <c r="V47">
        <v>2000</v>
      </c>
      <c r="W47">
        <v>4000</v>
      </c>
      <c r="X47">
        <v>16000</v>
      </c>
    </row>
    <row r="48" spans="1:24" x14ac:dyDescent="0.25">
      <c r="A48" s="5" t="s">
        <v>118</v>
      </c>
      <c r="B48" s="5" t="s">
        <v>119</v>
      </c>
      <c r="C48" s="5">
        <v>56</v>
      </c>
      <c r="D48" s="5" t="s">
        <v>2</v>
      </c>
      <c r="E48" s="5" t="s">
        <v>32</v>
      </c>
      <c r="F48" s="5" t="s">
        <v>29</v>
      </c>
      <c r="G48" s="6">
        <v>46128</v>
      </c>
      <c r="H48" s="7">
        <v>8500</v>
      </c>
      <c r="I48" s="7">
        <v>2000</v>
      </c>
      <c r="J48" s="8">
        <v>4000</v>
      </c>
      <c r="K48" s="7">
        <v>14500</v>
      </c>
      <c r="N48" t="str">
        <v>P041</v>
      </c>
      <c r="O48" t="str">
        <v>Ashok Das</v>
      </c>
      <c r="P48">
        <v>43</v>
      </c>
      <c r="Q48" t="str">
        <v>Male</v>
      </c>
      <c r="R48" t="str">
        <v>Diabetes</v>
      </c>
      <c r="S48" t="str">
        <v>Dr. Shah</v>
      </c>
      <c r="T48">
        <v>46122</v>
      </c>
      <c r="U48">
        <v>15500</v>
      </c>
      <c r="V48">
        <v>3000</v>
      </c>
      <c r="W48">
        <v>5000</v>
      </c>
      <c r="X48">
        <v>23500</v>
      </c>
    </row>
    <row r="49" spans="1:24" x14ac:dyDescent="0.25">
      <c r="A49" s="5" t="s">
        <v>120</v>
      </c>
      <c r="B49" s="5" t="s">
        <v>121</v>
      </c>
      <c r="C49" s="5">
        <v>32</v>
      </c>
      <c r="D49" s="5" t="s">
        <v>3</v>
      </c>
      <c r="E49" s="5" t="s">
        <v>36</v>
      </c>
      <c r="F49" s="5" t="s">
        <v>33</v>
      </c>
      <c r="G49" s="6">
        <v>46129</v>
      </c>
      <c r="H49" s="7">
        <v>19000</v>
      </c>
      <c r="I49" s="7">
        <v>4000</v>
      </c>
      <c r="J49" s="8">
        <v>6000</v>
      </c>
      <c r="K49" s="7">
        <v>29000</v>
      </c>
      <c r="N49" t="str">
        <v>P042</v>
      </c>
      <c r="O49" t="str">
        <v>Pallavi Sen</v>
      </c>
      <c r="P49">
        <v>35</v>
      </c>
      <c r="Q49" t="str">
        <v>Female</v>
      </c>
      <c r="R49" t="str">
        <v>Hypertension</v>
      </c>
      <c r="S49" t="str">
        <v>Dr. Kulkarni</v>
      </c>
      <c r="T49">
        <v>46123</v>
      </c>
      <c r="U49">
        <v>12500</v>
      </c>
      <c r="V49">
        <v>2500</v>
      </c>
      <c r="W49">
        <v>5000</v>
      </c>
      <c r="X49">
        <v>20000</v>
      </c>
    </row>
    <row r="50" spans="1:24" x14ac:dyDescent="0.25">
      <c r="A50" s="5" t="s">
        <v>122</v>
      </c>
      <c r="B50" s="5" t="s">
        <v>123</v>
      </c>
      <c r="C50" s="5">
        <v>50</v>
      </c>
      <c r="D50" s="5" t="s">
        <v>2</v>
      </c>
      <c r="E50" s="5" t="s">
        <v>42</v>
      </c>
      <c r="F50" s="5" t="s">
        <v>13</v>
      </c>
      <c r="G50" s="6">
        <v>46130</v>
      </c>
      <c r="H50" s="7">
        <v>14500</v>
      </c>
      <c r="I50" s="7">
        <v>3000</v>
      </c>
      <c r="J50" s="8">
        <v>5000</v>
      </c>
      <c r="K50" s="7">
        <v>22500</v>
      </c>
      <c r="N50" t="str">
        <v>P043</v>
      </c>
      <c r="O50" t="str">
        <v>Devendra Singh</v>
      </c>
      <c r="P50">
        <v>66</v>
      </c>
      <c r="Q50" t="str">
        <v>Male</v>
      </c>
      <c r="R50" t="str">
        <v>Heart Disease</v>
      </c>
      <c r="S50" t="str">
        <v>Dr. Mehta</v>
      </c>
      <c r="T50">
        <v>46124</v>
      </c>
      <c r="U50">
        <v>34000</v>
      </c>
      <c r="V50">
        <v>9500</v>
      </c>
      <c r="W50">
        <v>10000</v>
      </c>
      <c r="X50">
        <v>53500</v>
      </c>
    </row>
    <row r="51" spans="1:24" x14ac:dyDescent="0.25">
      <c r="A51" s="5" t="s">
        <v>124</v>
      </c>
      <c r="B51" s="5" t="s">
        <v>125</v>
      </c>
      <c r="C51" s="5">
        <v>29</v>
      </c>
      <c r="D51" s="5" t="s">
        <v>3</v>
      </c>
      <c r="E51" s="5" t="s">
        <v>45</v>
      </c>
      <c r="F51" s="5" t="s">
        <v>17</v>
      </c>
      <c r="G51" s="6">
        <v>46131</v>
      </c>
      <c r="H51" s="7">
        <v>11000</v>
      </c>
      <c r="I51" s="7">
        <v>2000</v>
      </c>
      <c r="J51" s="8">
        <v>4000</v>
      </c>
      <c r="K51" s="7">
        <v>17000</v>
      </c>
      <c r="N51" t="str">
        <v>P044</v>
      </c>
      <c r="O51" t="str">
        <v>Riya Kapoor</v>
      </c>
      <c r="P51">
        <v>23</v>
      </c>
      <c r="Q51" t="str">
        <v>Female</v>
      </c>
      <c r="R51" t="str">
        <v>Flu</v>
      </c>
      <c r="S51" t="str">
        <v>Dr. Rao</v>
      </c>
      <c r="T51">
        <v>46125</v>
      </c>
      <c r="U51">
        <v>5000</v>
      </c>
      <c r="V51">
        <v>1500</v>
      </c>
      <c r="W51">
        <v>3000</v>
      </c>
      <c r="X51">
        <v>9500</v>
      </c>
    </row>
    <row r="52" spans="1:24" x14ac:dyDescent="0.25">
      <c r="N52" t="str">
        <v>P045</v>
      </c>
      <c r="O52" t="str">
        <v>Varun Malhotra</v>
      </c>
      <c r="P52">
        <v>38</v>
      </c>
      <c r="Q52" t="str">
        <v>Male</v>
      </c>
      <c r="R52" t="str">
        <v>Fracture</v>
      </c>
      <c r="S52" t="str">
        <v>Dr. Singh</v>
      </c>
      <c r="T52">
        <v>46126</v>
      </c>
      <c r="U52">
        <v>21000</v>
      </c>
      <c r="V52">
        <v>5000</v>
      </c>
      <c r="W52">
        <v>7000</v>
      </c>
      <c r="X52">
        <v>33000</v>
      </c>
    </row>
    <row r="53" spans="1:24" x14ac:dyDescent="0.25">
      <c r="N53" t="str">
        <v>P046</v>
      </c>
      <c r="O53" t="str">
        <v>Neelam Gupta</v>
      </c>
      <c r="P53">
        <v>45</v>
      </c>
      <c r="Q53" t="str">
        <v>Female</v>
      </c>
      <c r="R53" t="str">
        <v>Migraine</v>
      </c>
      <c r="S53" t="str">
        <v>Dr. Iyer</v>
      </c>
      <c r="T53">
        <v>46127</v>
      </c>
      <c r="U53">
        <v>7000</v>
      </c>
      <c r="V53">
        <v>1500</v>
      </c>
      <c r="W53">
        <v>4000</v>
      </c>
      <c r="X53">
        <v>12500</v>
      </c>
    </row>
    <row r="54" spans="1:24" x14ac:dyDescent="0.25">
      <c r="N54" t="str">
        <v>P047</v>
      </c>
      <c r="O54" t="str">
        <v>Omkar Patil</v>
      </c>
      <c r="P54">
        <v>56</v>
      </c>
      <c r="Q54" t="str">
        <v>Male</v>
      </c>
      <c r="R54" t="str">
        <v>Asthma</v>
      </c>
      <c r="S54" t="str">
        <v>Dr. Shah</v>
      </c>
      <c r="T54">
        <v>46128</v>
      </c>
      <c r="U54">
        <v>8500</v>
      </c>
      <c r="V54">
        <v>2000</v>
      </c>
      <c r="W54">
        <v>4000</v>
      </c>
      <c r="X54">
        <v>14500</v>
      </c>
    </row>
    <row r="55" spans="1:24" x14ac:dyDescent="0.25">
      <c r="N55" t="str">
        <v>P048</v>
      </c>
      <c r="O55" t="str">
        <v>Sheetal More</v>
      </c>
      <c r="P55">
        <v>32</v>
      </c>
      <c r="Q55" t="str">
        <v>Female</v>
      </c>
      <c r="R55" t="str">
        <v>Covid-19</v>
      </c>
      <c r="S55" t="str">
        <v>Dr. Kulkarni</v>
      </c>
      <c r="T55">
        <v>46129</v>
      </c>
      <c r="U55">
        <v>19000</v>
      </c>
      <c r="V55">
        <v>4000</v>
      </c>
      <c r="W55">
        <v>6000</v>
      </c>
      <c r="X55">
        <v>29000</v>
      </c>
    </row>
    <row r="56" spans="1:24" x14ac:dyDescent="0.25">
      <c r="N56" t="str">
        <v>P049</v>
      </c>
      <c r="O56" t="str">
        <v>Sanjay Mishra</v>
      </c>
      <c r="P56">
        <v>50</v>
      </c>
      <c r="Q56" t="str">
        <v>Male</v>
      </c>
      <c r="R56" t="str">
        <v>Arthritis</v>
      </c>
      <c r="S56" t="str">
        <v>Dr. Mehta</v>
      </c>
      <c r="T56">
        <v>46130</v>
      </c>
      <c r="U56">
        <v>14500</v>
      </c>
      <c r="V56">
        <v>3000</v>
      </c>
      <c r="W56">
        <v>5000</v>
      </c>
      <c r="X56">
        <v>22500</v>
      </c>
    </row>
    <row r="57" spans="1:24" x14ac:dyDescent="0.25">
      <c r="N57" t="str">
        <v>P050</v>
      </c>
      <c r="O57" t="str">
        <v>Tina Dsouza</v>
      </c>
      <c r="P57">
        <v>29</v>
      </c>
      <c r="Q57" t="str">
        <v>Female</v>
      </c>
      <c r="R57" t="str">
        <v>Thyroid</v>
      </c>
      <c r="S57" t="str">
        <v>Dr. Rao</v>
      </c>
      <c r="T57">
        <v>46131</v>
      </c>
      <c r="U57">
        <v>11000</v>
      </c>
      <c r="V57">
        <v>2000</v>
      </c>
      <c r="W57">
        <v>4000</v>
      </c>
      <c r="X57">
        <v>17000</v>
      </c>
    </row>
  </sheetData>
  <mergeCells count="1">
    <mergeCell ref="N1:X1"/>
  </mergeCells>
  <pageMargins left="0.7" right="0.7" top="0.75" bottom="0.75" header="0.3" footer="0.3"/>
  <pageSetup orientation="portrait" r:id="rId1"/>
  <drawing r:id="rId2"/>
  <legacyDrawing r:id="rId3"/>
  <controls>
    <mc:AlternateContent xmlns:mc="http://schemas.openxmlformats.org/markup-compatibility/2006">
      <mc:Choice Requires="x14">
        <control shapeId="5121" r:id="rId4" name="TextBox1">
          <controlPr defaultSize="0" autoLine="0" r:id="rId5">
            <anchor moveWithCells="1">
              <from>
                <xdr:col>13</xdr:col>
                <xdr:colOff>257175</xdr:colOff>
                <xdr:row>1</xdr:row>
                <xdr:rowOff>123825</xdr:rowOff>
              </from>
              <to>
                <xdr:col>13</xdr:col>
                <xdr:colOff>333375</xdr:colOff>
                <xdr:row>2</xdr:row>
                <xdr:rowOff>104775</xdr:rowOff>
              </to>
            </anchor>
          </controlPr>
        </control>
      </mc:Choice>
      <mc:Fallback>
        <control shapeId="5121" r:id="rId4" name="TextBox1"/>
      </mc:Fallback>
    </mc:AlternateContent>
    <mc:AlternateContent xmlns:mc="http://schemas.openxmlformats.org/markup-compatibility/2006">
      <mc:Choice Requires="x14">
        <control shapeId="5122" r:id="rId6" name="TextBox2">
          <controlPr defaultSize="0" autoLine="0" autoPict="0" linkedCell="N3" r:id="rId7">
            <anchor moveWithCells="1">
              <from>
                <xdr:col>13</xdr:col>
                <xdr:colOff>0</xdr:colOff>
                <xdr:row>1</xdr:row>
                <xdr:rowOff>19050</xdr:rowOff>
              </from>
              <to>
                <xdr:col>22</xdr:col>
                <xdr:colOff>723900</xdr:colOff>
                <xdr:row>3</xdr:row>
                <xdr:rowOff>38100</xdr:rowOff>
              </to>
            </anchor>
          </controlPr>
        </control>
      </mc:Choice>
      <mc:Fallback>
        <control shapeId="5122" r:id="rId6" name="TextBox2"/>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D9B64-B510-4CBB-9790-E580604D8D91}">
  <sheetPr codeName="Sheet2"/>
  <dimension ref="A1:Z2"/>
  <sheetViews>
    <sheetView showGridLines="0" zoomScale="70" zoomScaleNormal="70" workbookViewId="0">
      <selection activeCell="Y24" sqref="Y24"/>
    </sheetView>
  </sheetViews>
  <sheetFormatPr defaultRowHeight="15" x14ac:dyDescent="0.25"/>
  <cols>
    <col min="1" max="16384" width="9.140625" style="9"/>
  </cols>
  <sheetData>
    <row r="1" spans="1:26" ht="15" customHeight="1" x14ac:dyDescent="0.25">
      <c r="A1" s="14" t="s">
        <v>183</v>
      </c>
      <c r="B1" s="15"/>
      <c r="C1" s="15"/>
      <c r="D1" s="15"/>
      <c r="E1" s="15"/>
      <c r="F1" s="15"/>
      <c r="G1" s="15"/>
      <c r="H1" s="15"/>
      <c r="I1" s="15"/>
      <c r="J1" s="15"/>
      <c r="K1" s="15"/>
      <c r="L1" s="15"/>
      <c r="M1" s="15"/>
      <c r="N1" s="15"/>
      <c r="O1" s="15"/>
      <c r="P1" s="15"/>
      <c r="Q1" s="15"/>
      <c r="R1" s="15"/>
      <c r="S1" s="15"/>
      <c r="T1" s="15"/>
      <c r="U1" s="15"/>
      <c r="V1" s="15"/>
      <c r="W1" s="15"/>
      <c r="X1" s="15"/>
      <c r="Y1" s="15"/>
      <c r="Z1" s="16"/>
    </row>
    <row r="2" spans="1:26" ht="15" customHeight="1" thickBot="1" x14ac:dyDescent="0.3">
      <c r="A2" s="17"/>
      <c r="B2" s="18"/>
      <c r="C2" s="18"/>
      <c r="D2" s="18"/>
      <c r="E2" s="18"/>
      <c r="F2" s="18"/>
      <c r="G2" s="18"/>
      <c r="H2" s="18"/>
      <c r="I2" s="18"/>
      <c r="J2" s="18"/>
      <c r="K2" s="18"/>
      <c r="L2" s="18"/>
      <c r="M2" s="18"/>
      <c r="N2" s="18"/>
      <c r="O2" s="18"/>
      <c r="P2" s="18"/>
      <c r="Q2" s="18"/>
      <c r="R2" s="18"/>
      <c r="S2" s="18"/>
      <c r="T2" s="18"/>
      <c r="U2" s="18"/>
      <c r="V2" s="18"/>
      <c r="W2" s="18"/>
      <c r="X2" s="18"/>
      <c r="Y2" s="18"/>
      <c r="Z2" s="19"/>
    </row>
  </sheetData>
  <mergeCells count="1">
    <mergeCell ref="A1:Z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223E0-3582-45C6-A5C8-095CFD7E6E07}">
  <sheetPr codeName="Sheet3"/>
  <dimension ref="A3:B13"/>
  <sheetViews>
    <sheetView workbookViewId="0">
      <selection activeCell="K12" sqref="K12"/>
    </sheetView>
  </sheetViews>
  <sheetFormatPr defaultRowHeight="15" x14ac:dyDescent="0.25"/>
  <cols>
    <col min="1" max="1" width="13.28515625" bestFit="1" customWidth="1"/>
    <col min="2" max="2" width="18" bestFit="1" customWidth="1"/>
  </cols>
  <sheetData>
    <row r="3" spans="1:2" x14ac:dyDescent="0.25">
      <c r="A3" s="3" t="s">
        <v>4</v>
      </c>
      <c r="B3" t="s">
        <v>130</v>
      </c>
    </row>
    <row r="4" spans="1:2" x14ac:dyDescent="0.25">
      <c r="A4" s="4" t="s">
        <v>42</v>
      </c>
      <c r="B4" s="2">
        <v>5</v>
      </c>
    </row>
    <row r="5" spans="1:2" x14ac:dyDescent="0.25">
      <c r="A5" s="4" t="s">
        <v>32</v>
      </c>
      <c r="B5" s="2">
        <v>5</v>
      </c>
    </row>
    <row r="6" spans="1:2" x14ac:dyDescent="0.25">
      <c r="A6" s="4" t="s">
        <v>36</v>
      </c>
      <c r="B6" s="2">
        <v>5</v>
      </c>
    </row>
    <row r="7" spans="1:2" x14ac:dyDescent="0.25">
      <c r="A7" s="4" t="s">
        <v>12</v>
      </c>
      <c r="B7" s="2">
        <v>5</v>
      </c>
    </row>
    <row r="8" spans="1:2" x14ac:dyDescent="0.25">
      <c r="A8" s="4" t="s">
        <v>16</v>
      </c>
      <c r="B8" s="2">
        <v>5</v>
      </c>
    </row>
    <row r="9" spans="1:2" x14ac:dyDescent="0.25">
      <c r="A9" s="4" t="s">
        <v>20</v>
      </c>
      <c r="B9" s="2">
        <v>5</v>
      </c>
    </row>
    <row r="10" spans="1:2" x14ac:dyDescent="0.25">
      <c r="A10" s="4" t="s">
        <v>28</v>
      </c>
      <c r="B10" s="2">
        <v>5</v>
      </c>
    </row>
    <row r="11" spans="1:2" x14ac:dyDescent="0.25">
      <c r="A11" s="4" t="s">
        <v>24</v>
      </c>
      <c r="B11" s="2">
        <v>5</v>
      </c>
    </row>
    <row r="12" spans="1:2" x14ac:dyDescent="0.25">
      <c r="A12" s="4" t="s">
        <v>39</v>
      </c>
      <c r="B12" s="2">
        <v>5</v>
      </c>
    </row>
    <row r="13" spans="1:2" x14ac:dyDescent="0.25">
      <c r="A13" s="4" t="s">
        <v>45</v>
      </c>
      <c r="B13" s="2">
        <v>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AC93F-5EB3-4A36-BB61-9A6AB34F6B88}">
  <sheetPr codeName="Sheet4"/>
  <dimension ref="A3:B9"/>
  <sheetViews>
    <sheetView workbookViewId="0">
      <selection activeCell="M8" sqref="M8"/>
    </sheetView>
  </sheetViews>
  <sheetFormatPr defaultRowHeight="15" x14ac:dyDescent="0.25"/>
  <cols>
    <col min="1" max="1" width="13.140625" bestFit="1" customWidth="1"/>
    <col min="2" max="2" width="15.42578125" bestFit="1" customWidth="1"/>
  </cols>
  <sheetData>
    <row r="3" spans="1:2" x14ac:dyDescent="0.25">
      <c r="A3" s="3" t="s">
        <v>4</v>
      </c>
      <c r="B3" t="s">
        <v>132</v>
      </c>
    </row>
    <row r="4" spans="1:2" x14ac:dyDescent="0.25">
      <c r="A4" s="4" t="s">
        <v>25</v>
      </c>
      <c r="B4" s="2">
        <v>135500</v>
      </c>
    </row>
    <row r="5" spans="1:2" x14ac:dyDescent="0.25">
      <c r="A5" s="4" t="s">
        <v>33</v>
      </c>
      <c r="B5" s="2">
        <v>151500</v>
      </c>
    </row>
    <row r="6" spans="1:2" x14ac:dyDescent="0.25">
      <c r="A6" s="4" t="s">
        <v>13</v>
      </c>
      <c r="B6" s="2">
        <v>274500</v>
      </c>
    </row>
    <row r="7" spans="1:2" x14ac:dyDescent="0.25">
      <c r="A7" s="4" t="s">
        <v>17</v>
      </c>
      <c r="B7" s="2">
        <v>136500</v>
      </c>
    </row>
    <row r="8" spans="1:2" x14ac:dyDescent="0.25">
      <c r="A8" s="4" t="s">
        <v>29</v>
      </c>
      <c r="B8" s="2">
        <v>229500</v>
      </c>
    </row>
    <row r="9" spans="1:2" x14ac:dyDescent="0.25">
      <c r="A9" s="4" t="s">
        <v>21</v>
      </c>
      <c r="B9" s="2">
        <v>233000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2F3AF-3CB1-47F4-82EC-08729CADFA68}">
  <sheetPr codeName="Sheet5"/>
  <dimension ref="A3:B6"/>
  <sheetViews>
    <sheetView workbookViewId="0">
      <selection activeCell="K19" sqref="K19"/>
    </sheetView>
  </sheetViews>
  <sheetFormatPr defaultRowHeight="15" x14ac:dyDescent="0.25"/>
  <cols>
    <col min="1" max="1" width="13.140625" bestFit="1" customWidth="1"/>
    <col min="2" max="2" width="18" bestFit="1" customWidth="1"/>
  </cols>
  <sheetData>
    <row r="3" spans="1:2" x14ac:dyDescent="0.25">
      <c r="A3" s="3" t="s">
        <v>4</v>
      </c>
      <c r="B3" t="s">
        <v>130</v>
      </c>
    </row>
    <row r="4" spans="1:2" x14ac:dyDescent="0.25">
      <c r="A4" s="4" t="s">
        <v>3</v>
      </c>
      <c r="B4" s="2">
        <v>25</v>
      </c>
    </row>
    <row r="5" spans="1:2" x14ac:dyDescent="0.25">
      <c r="A5" s="4" t="s">
        <v>2</v>
      </c>
      <c r="B5" s="2">
        <v>25</v>
      </c>
    </row>
    <row r="6" spans="1:2" x14ac:dyDescent="0.25">
      <c r="A6" s="4" t="s">
        <v>131</v>
      </c>
      <c r="B6" s="2">
        <v>50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0AA276-9596-4B45-ADE9-88D6372CA28C}">
  <sheetPr codeName="Sheet6"/>
  <dimension ref="A3:B53"/>
  <sheetViews>
    <sheetView topLeftCell="A9" workbookViewId="0">
      <selection activeCell="K29" sqref="K29"/>
    </sheetView>
  </sheetViews>
  <sheetFormatPr defaultRowHeight="15" x14ac:dyDescent="0.25"/>
  <cols>
    <col min="1" max="1" width="13.140625" bestFit="1" customWidth="1"/>
    <col min="2" max="2" width="15.42578125" bestFit="1" customWidth="1"/>
    <col min="3" max="3" width="16" bestFit="1" customWidth="1"/>
  </cols>
  <sheetData>
    <row r="3" spans="1:2" x14ac:dyDescent="0.25">
      <c r="A3" s="3" t="s">
        <v>4</v>
      </c>
      <c r="B3" t="s">
        <v>132</v>
      </c>
    </row>
    <row r="4" spans="1:2" x14ac:dyDescent="0.25">
      <c r="A4" s="10" t="s">
        <v>133</v>
      </c>
      <c r="B4" s="2">
        <v>23000</v>
      </c>
    </row>
    <row r="5" spans="1:2" x14ac:dyDescent="0.25">
      <c r="A5" s="10" t="s">
        <v>134</v>
      </c>
      <c r="B5" s="2">
        <v>9500</v>
      </c>
    </row>
    <row r="6" spans="1:2" x14ac:dyDescent="0.25">
      <c r="A6" s="10" t="s">
        <v>135</v>
      </c>
      <c r="B6" s="2">
        <v>32000</v>
      </c>
    </row>
    <row r="7" spans="1:2" x14ac:dyDescent="0.25">
      <c r="A7" s="10" t="s">
        <v>136</v>
      </c>
      <c r="B7" s="2">
        <v>19500</v>
      </c>
    </row>
    <row r="8" spans="1:2" x14ac:dyDescent="0.25">
      <c r="A8" s="10" t="s">
        <v>137</v>
      </c>
      <c r="B8" s="2">
        <v>48000</v>
      </c>
    </row>
    <row r="9" spans="1:2" x14ac:dyDescent="0.25">
      <c r="A9" s="10" t="s">
        <v>138</v>
      </c>
      <c r="B9" s="2">
        <v>14000</v>
      </c>
    </row>
    <row r="10" spans="1:2" x14ac:dyDescent="0.25">
      <c r="A10" s="10" t="s">
        <v>139</v>
      </c>
      <c r="B10" s="2">
        <v>28000</v>
      </c>
    </row>
    <row r="11" spans="1:2" x14ac:dyDescent="0.25">
      <c r="A11" s="10" t="s">
        <v>140</v>
      </c>
      <c r="B11" s="2">
        <v>12500</v>
      </c>
    </row>
    <row r="12" spans="1:2" x14ac:dyDescent="0.25">
      <c r="A12" s="10" t="s">
        <v>141</v>
      </c>
      <c r="B12" s="2">
        <v>22000</v>
      </c>
    </row>
    <row r="13" spans="1:2" x14ac:dyDescent="0.25">
      <c r="A13" s="10" t="s">
        <v>142</v>
      </c>
      <c r="B13" s="2">
        <v>16000</v>
      </c>
    </row>
    <row r="14" spans="1:2" x14ac:dyDescent="0.25">
      <c r="A14" s="10" t="s">
        <v>143</v>
      </c>
      <c r="B14" s="2">
        <v>24500</v>
      </c>
    </row>
    <row r="15" spans="1:2" x14ac:dyDescent="0.25">
      <c r="A15" s="10" t="s">
        <v>144</v>
      </c>
      <c r="B15" s="2">
        <v>20500</v>
      </c>
    </row>
    <row r="16" spans="1:2" x14ac:dyDescent="0.25">
      <c r="A16" s="10" t="s">
        <v>145</v>
      </c>
      <c r="B16" s="2">
        <v>51000</v>
      </c>
    </row>
    <row r="17" spans="1:2" x14ac:dyDescent="0.25">
      <c r="A17" s="10" t="s">
        <v>146</v>
      </c>
      <c r="B17" s="2">
        <v>10000</v>
      </c>
    </row>
    <row r="18" spans="1:2" x14ac:dyDescent="0.25">
      <c r="A18" s="10" t="s">
        <v>147</v>
      </c>
      <c r="B18" s="2">
        <v>33000</v>
      </c>
    </row>
    <row r="19" spans="1:2" x14ac:dyDescent="0.25">
      <c r="A19" s="10" t="s">
        <v>148</v>
      </c>
      <c r="B19" s="2">
        <v>13000</v>
      </c>
    </row>
    <row r="20" spans="1:2" x14ac:dyDescent="0.25">
      <c r="A20" s="10" t="s">
        <v>149</v>
      </c>
      <c r="B20" s="2">
        <v>15000</v>
      </c>
    </row>
    <row r="21" spans="1:2" x14ac:dyDescent="0.25">
      <c r="A21" s="10" t="s">
        <v>150</v>
      </c>
      <c r="B21" s="2">
        <v>29000</v>
      </c>
    </row>
    <row r="22" spans="1:2" x14ac:dyDescent="0.25">
      <c r="A22" s="10" t="s">
        <v>151</v>
      </c>
      <c r="B22" s="2">
        <v>23000</v>
      </c>
    </row>
    <row r="23" spans="1:2" x14ac:dyDescent="0.25">
      <c r="A23" s="10" t="s">
        <v>152</v>
      </c>
      <c r="B23" s="2">
        <v>17000</v>
      </c>
    </row>
    <row r="24" spans="1:2" x14ac:dyDescent="0.25">
      <c r="A24" s="10" t="s">
        <v>153</v>
      </c>
      <c r="B24" s="2">
        <v>23500</v>
      </c>
    </row>
    <row r="25" spans="1:2" x14ac:dyDescent="0.25">
      <c r="A25" s="10" t="s">
        <v>154</v>
      </c>
      <c r="B25" s="2">
        <v>20000</v>
      </c>
    </row>
    <row r="26" spans="1:2" x14ac:dyDescent="0.25">
      <c r="A26" s="10" t="s">
        <v>155</v>
      </c>
      <c r="B26" s="2">
        <v>49500</v>
      </c>
    </row>
    <row r="27" spans="1:2" x14ac:dyDescent="0.25">
      <c r="A27" s="10" t="s">
        <v>156</v>
      </c>
      <c r="B27" s="2">
        <v>9500</v>
      </c>
    </row>
    <row r="28" spans="1:2" x14ac:dyDescent="0.25">
      <c r="A28" s="10" t="s">
        <v>157</v>
      </c>
      <c r="B28" s="2">
        <v>34000</v>
      </c>
    </row>
    <row r="29" spans="1:2" x14ac:dyDescent="0.25">
      <c r="A29" s="10" t="s">
        <v>158</v>
      </c>
      <c r="B29" s="2">
        <v>12500</v>
      </c>
    </row>
    <row r="30" spans="1:2" x14ac:dyDescent="0.25">
      <c r="A30" s="10" t="s">
        <v>159</v>
      </c>
      <c r="B30" s="2">
        <v>14500</v>
      </c>
    </row>
    <row r="31" spans="1:2" x14ac:dyDescent="0.25">
      <c r="A31" s="10" t="s">
        <v>160</v>
      </c>
      <c r="B31" s="2">
        <v>28500</v>
      </c>
    </row>
    <row r="32" spans="1:2" x14ac:dyDescent="0.25">
      <c r="A32" s="10" t="s">
        <v>161</v>
      </c>
      <c r="B32" s="2">
        <v>22500</v>
      </c>
    </row>
    <row r="33" spans="1:2" x14ac:dyDescent="0.25">
      <c r="A33" s="10" t="s">
        <v>162</v>
      </c>
      <c r="B33" s="2">
        <v>16500</v>
      </c>
    </row>
    <row r="34" spans="1:2" x14ac:dyDescent="0.25">
      <c r="A34" s="10" t="s">
        <v>163</v>
      </c>
      <c r="B34" s="2">
        <v>24500</v>
      </c>
    </row>
    <row r="35" spans="1:2" x14ac:dyDescent="0.25">
      <c r="A35" s="10" t="s">
        <v>164</v>
      </c>
      <c r="B35" s="2">
        <v>20500</v>
      </c>
    </row>
    <row r="36" spans="1:2" x14ac:dyDescent="0.25">
      <c r="A36" s="10" t="s">
        <v>165</v>
      </c>
      <c r="B36" s="2">
        <v>52000</v>
      </c>
    </row>
    <row r="37" spans="1:2" x14ac:dyDescent="0.25">
      <c r="A37" s="10" t="s">
        <v>166</v>
      </c>
      <c r="B37" s="2">
        <v>10000</v>
      </c>
    </row>
    <row r="38" spans="1:2" x14ac:dyDescent="0.25">
      <c r="A38" s="10" t="s">
        <v>167</v>
      </c>
      <c r="B38" s="2">
        <v>32000</v>
      </c>
    </row>
    <row r="39" spans="1:2" x14ac:dyDescent="0.25">
      <c r="A39" s="10" t="s">
        <v>168</v>
      </c>
      <c r="B39" s="2">
        <v>13000</v>
      </c>
    </row>
    <row r="40" spans="1:2" x14ac:dyDescent="0.25">
      <c r="A40" s="10" t="s">
        <v>169</v>
      </c>
      <c r="B40" s="2">
        <v>15000</v>
      </c>
    </row>
    <row r="41" spans="1:2" x14ac:dyDescent="0.25">
      <c r="A41" s="10" t="s">
        <v>170</v>
      </c>
      <c r="B41" s="2">
        <v>28000</v>
      </c>
    </row>
    <row r="42" spans="1:2" x14ac:dyDescent="0.25">
      <c r="A42" s="10" t="s">
        <v>171</v>
      </c>
      <c r="B42" s="2">
        <v>23000</v>
      </c>
    </row>
    <row r="43" spans="1:2" x14ac:dyDescent="0.25">
      <c r="A43" s="10" t="s">
        <v>172</v>
      </c>
      <c r="B43" s="2">
        <v>16000</v>
      </c>
    </row>
    <row r="44" spans="1:2" x14ac:dyDescent="0.25">
      <c r="A44" s="10" t="s">
        <v>173</v>
      </c>
      <c r="B44" s="2">
        <v>23500</v>
      </c>
    </row>
    <row r="45" spans="1:2" x14ac:dyDescent="0.25">
      <c r="A45" s="10" t="s">
        <v>174</v>
      </c>
      <c r="B45" s="2">
        <v>20000</v>
      </c>
    </row>
    <row r="46" spans="1:2" x14ac:dyDescent="0.25">
      <c r="A46" s="10" t="s">
        <v>175</v>
      </c>
      <c r="B46" s="2">
        <v>53500</v>
      </c>
    </row>
    <row r="47" spans="1:2" x14ac:dyDescent="0.25">
      <c r="A47" s="10" t="s">
        <v>176</v>
      </c>
      <c r="B47" s="2">
        <v>9500</v>
      </c>
    </row>
    <row r="48" spans="1:2" x14ac:dyDescent="0.25">
      <c r="A48" s="10" t="s">
        <v>177</v>
      </c>
      <c r="B48" s="2">
        <v>33000</v>
      </c>
    </row>
    <row r="49" spans="1:2" x14ac:dyDescent="0.25">
      <c r="A49" s="10" t="s">
        <v>178</v>
      </c>
      <c r="B49" s="2">
        <v>12500</v>
      </c>
    </row>
    <row r="50" spans="1:2" x14ac:dyDescent="0.25">
      <c r="A50" s="10" t="s">
        <v>179</v>
      </c>
      <c r="B50" s="2">
        <v>14500</v>
      </c>
    </row>
    <row r="51" spans="1:2" x14ac:dyDescent="0.25">
      <c r="A51" s="10" t="s">
        <v>180</v>
      </c>
      <c r="B51" s="2">
        <v>29000</v>
      </c>
    </row>
    <row r="52" spans="1:2" x14ac:dyDescent="0.25">
      <c r="A52" s="10" t="s">
        <v>181</v>
      </c>
      <c r="B52" s="2">
        <v>22500</v>
      </c>
    </row>
    <row r="53" spans="1:2" x14ac:dyDescent="0.25">
      <c r="A53" s="10" t="s">
        <v>182</v>
      </c>
      <c r="B53" s="2">
        <v>17000</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patient details</vt:lpstr>
      <vt:lpstr>Hospital-details</vt:lpstr>
      <vt:lpstr>patient Disease</vt:lpstr>
      <vt:lpstr>Doctor Revenue</vt:lpstr>
      <vt:lpstr>Patients Gander</vt:lpstr>
      <vt:lpstr>Daly revenue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arsalan shaikh</dc:creator>
  <cp:lastModifiedBy>arsalan shaikh</cp:lastModifiedBy>
  <dcterms:created xsi:type="dcterms:W3CDTF">2026-04-07T08:29:17Z</dcterms:created>
  <dcterms:modified xsi:type="dcterms:W3CDTF">2026-04-10T05:10:25Z</dcterms:modified>
</cp:coreProperties>
</file>